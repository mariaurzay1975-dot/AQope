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da9d4ecdf39d58c/Aquarelle.es -Maria/App operaciones control stock/"/>
    </mc:Choice>
  </mc:AlternateContent>
  <xr:revisionPtr revIDLastSave="15" documentId="8_{22814D85-254F-4026-A99D-2E895A4F0229}" xr6:coauthVersionLast="47" xr6:coauthVersionMax="47" xr10:uidLastSave="{C1F7619A-CA85-4491-9078-A93789D4F6D1}"/>
  <bookViews>
    <workbookView xWindow="-28920" yWindow="-120" windowWidth="29040" windowHeight="15720" firstSheet="1" activeTab="3" xr2:uid="{00000000-000D-0000-FFFF-FFFF00000000}"/>
  </bookViews>
  <sheets>
    <sheet name="Detalle1" sheetId="113" state="hidden" r:id="rId1"/>
    <sheet name="Datos" sheetId="4" r:id="rId2"/>
    <sheet name="Stock" sheetId="6" r:id="rId3"/>
    <sheet name="Promt" sheetId="114" r:id="rId4"/>
  </sheets>
  <externalReferences>
    <externalReference r:id="rId5"/>
    <externalReference r:id="rId6"/>
    <externalReference r:id="rId7"/>
    <externalReference r:id="rId8"/>
  </externalReferences>
  <definedNames>
    <definedName name="_xleta.AND" hidden="1" xlm="1">#NAME?</definedName>
    <definedName name="_xleta.DAY" hidden="1" xlm="1">#NAME?</definedName>
    <definedName name="_xleta.DAYS" hidden="1" xlm="1">#NAME?</definedName>
    <definedName name="_xleta.DROP" hidden="1" xlm="1">#NAME?</definedName>
    <definedName name="_xleta.IF" hidden="1" xlm="1">#NAME?</definedName>
    <definedName name="_xleta.NOT" hidden="1" xlm="1">#NAME?</definedName>
    <definedName name="_xleta.ROW" hidden="1" xlm="1">#NAME?</definedName>
    <definedName name="_xleta.ROWS" hidden="1" xlm="1">#NAME?</definedName>
    <definedName name="_xleta.SLOPE" hidden="1" xlm="1">#NAME?</definedName>
    <definedName name="_xleta.SUBSTITUTE" hidden="1" xlm="1">#NAME?</definedName>
    <definedName name="_xleta.SUM" hidden="1" xlm="1">#NAME?</definedName>
    <definedName name="Categorias">OFFSET([1]Configuracion!$C$5, 0, 0, COUNTA([1]Configuracion!$B:$B) - 2)</definedName>
    <definedName name="DiasCategorias">[1]Diario!$F$2:$F$366</definedName>
    <definedName name="FechaInicio">[1]Completo!$B$1</definedName>
    <definedName name="IDCategorias">OFFSET([1]Configuracion!$B$5, 0, 0, COUNTA([1]Configuracion!$B:$B) - 2)</definedName>
    <definedName name="m1_">[2]Mini!$C$6:$AR$6</definedName>
    <definedName name="m8_">[3]Mini!$C$13:$AR$13</definedName>
    <definedName name="m9_">[3]Mini!$C$14:$AR$14</definedName>
    <definedName name="RangoCompleto">[1]Completo!$B$5:$H$10,[1]Completo!$L$5:$R$10,[1]Completo!$V$5:$AB$10,[1]Completo!$B$14:$H$19,[1]Completo!$L$14:$R$19,[1]Completo!$V$14:$AB$19,[1]Completo!$B$23:$H$28,[1]Completo!$L$23:$R$28,[1]Completo!$V$23:$AB$28,[1]Completo!$B$32:$H$37,[1]Completo!$L$32:$R$37,[1]Completo!$V$32:$AB$37</definedName>
    <definedName name="RangoMensual">'[1] Mensual Compras '!$B$5:$H$16,'[1] Mensual Compras '!$B$20:$H$31,'[1] Mensual Compras '!$B$35:$H$46,'[1] Mensual Compras '!$B$50:$H$61,'[1] Mensual Compras '!$B$65:$H$76,'[1] Mensual Compras '!$B$80:$H$91,'[1] Mensual Compras '!$B$95:$H$106,'[1] Mensual Compras '!$B$110:$H$121,'[1] Mensual Compras '!$B$125:$H$136,'[1] Mensual Compras '!$B$140:$H$151,'[1] Mensual Compras '!$B$155:$H$166,'[1] Mensual Compras '!$B$170:$H$181</definedName>
    <definedName name="RangoSemanal">#REF!</definedName>
  </definedNames>
  <calcPr calcId="191028"/>
  <pivotCaches>
    <pivotCache cacheId="3" r:id="rId9"/>
    <pivotCache cacheId="4" r:id="rId10"/>
    <pivotCache cacheId="5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" i="114" l="1"/>
  <c r="A75" i="114"/>
  <c r="A74" i="114"/>
  <c r="A73" i="114"/>
  <c r="A72" i="114"/>
  <c r="A71" i="114"/>
  <c r="A70" i="114"/>
  <c r="A69" i="114"/>
  <c r="A68" i="114"/>
  <c r="A67" i="114"/>
  <c r="A66" i="114"/>
  <c r="A65" i="114"/>
  <c r="A64" i="114"/>
  <c r="A63" i="114"/>
  <c r="A62" i="114"/>
  <c r="A61" i="114"/>
  <c r="A60" i="114"/>
  <c r="A59" i="114"/>
  <c r="A58" i="114"/>
  <c r="A57" i="114"/>
  <c r="A56" i="114"/>
  <c r="A55" i="114"/>
  <c r="A54" i="114"/>
  <c r="A53" i="114"/>
  <c r="A52" i="114"/>
  <c r="A51" i="114"/>
  <c r="A50" i="114"/>
  <c r="A49" i="114"/>
  <c r="A48" i="114"/>
  <c r="A47" i="114"/>
  <c r="S18" i="6"/>
  <c r="S8" i="6"/>
  <c r="U8" i="6" s="1"/>
  <c r="AA8" i="6" s="1"/>
  <c r="AC8" i="6" s="1"/>
  <c r="S9" i="6"/>
  <c r="S10" i="6"/>
  <c r="S11" i="6"/>
  <c r="S12" i="6"/>
  <c r="S13" i="6"/>
  <c r="S14" i="6"/>
  <c r="S15" i="6"/>
  <c r="S16" i="6"/>
  <c r="S17" i="6"/>
  <c r="Y39" i="6" l="1"/>
  <c r="L26" i="6" l="1"/>
  <c r="U9" i="6" l="1"/>
  <c r="AA9" i="6" s="1"/>
  <c r="AC9" i="6" s="1"/>
  <c r="U10" i="6"/>
  <c r="AA10" i="6" s="1"/>
  <c r="AC10" i="6" s="1"/>
  <c r="U11" i="6"/>
  <c r="AA11" i="6" s="1"/>
  <c r="AC11" i="6" s="1"/>
  <c r="U12" i="6"/>
  <c r="AA12" i="6" s="1"/>
  <c r="AC12" i="6" s="1"/>
  <c r="U13" i="6"/>
  <c r="AA13" i="6" s="1"/>
  <c r="AC13" i="6" s="1"/>
  <c r="U14" i="6"/>
  <c r="AA14" i="6" s="1"/>
  <c r="AC14" i="6" s="1"/>
  <c r="U15" i="6"/>
  <c r="AA15" i="6" s="1"/>
  <c r="AC15" i="6" s="1"/>
  <c r="U16" i="6"/>
  <c r="AA16" i="6" s="1"/>
  <c r="AC16" i="6" s="1"/>
  <c r="U17" i="6"/>
  <c r="AA17" i="6" s="1"/>
  <c r="AC17" i="6" s="1"/>
  <c r="AK33" i="6" l="1"/>
  <c r="AK34" i="6" l="1"/>
  <c r="AJ21" i="6"/>
  <c r="AK35" i="6"/>
  <c r="AK36" i="6"/>
  <c r="T26" i="6"/>
  <c r="AK4" i="6"/>
  <c r="AK5" i="6"/>
  <c r="AK6" i="6"/>
  <c r="AK7" i="6"/>
  <c r="AK8" i="6" l="1"/>
  <c r="P16" i="4" l="1"/>
  <c r="Q71" i="4"/>
  <c r="P71" i="4"/>
  <c r="O71" i="4"/>
  <c r="Q70" i="4"/>
  <c r="P70" i="4"/>
  <c r="O70" i="4"/>
  <c r="Q69" i="4"/>
  <c r="P69" i="4"/>
  <c r="O69" i="4"/>
  <c r="Q68" i="4"/>
  <c r="P68" i="4"/>
  <c r="O68" i="4"/>
  <c r="Q67" i="4"/>
  <c r="P67" i="4"/>
  <c r="O67" i="4"/>
  <c r="Q66" i="4"/>
  <c r="P66" i="4"/>
  <c r="O66" i="4"/>
  <c r="Q65" i="4"/>
  <c r="P65" i="4"/>
  <c r="O65" i="4"/>
  <c r="Q64" i="4"/>
  <c r="P64" i="4"/>
  <c r="O64" i="4"/>
  <c r="Q63" i="4"/>
  <c r="P63" i="4"/>
  <c r="O63" i="4"/>
  <c r="Q62" i="4"/>
  <c r="P62" i="4"/>
  <c r="O62" i="4"/>
  <c r="Q61" i="4"/>
  <c r="P61" i="4"/>
  <c r="O61" i="4"/>
  <c r="Q60" i="4"/>
  <c r="P60" i="4"/>
  <c r="O60" i="4"/>
  <c r="Q59" i="4"/>
  <c r="P59" i="4"/>
  <c r="O59" i="4"/>
  <c r="H1" i="4"/>
  <c r="G1" i="4"/>
  <c r="F1" i="4"/>
  <c r="E1" i="4"/>
  <c r="D1" i="4"/>
  <c r="B1" i="4"/>
  <c r="S6" i="6" l="1"/>
  <c r="U18" i="6"/>
  <c r="AA18" i="6" s="1"/>
  <c r="AC18" i="6" s="1"/>
  <c r="S19" i="6"/>
  <c r="S20" i="6"/>
  <c r="S21" i="6"/>
  <c r="S22" i="6"/>
  <c r="U22" i="6" s="1"/>
  <c r="AA22" i="6" s="1"/>
  <c r="AC22" i="6" s="1"/>
  <c r="S23" i="6"/>
  <c r="S24" i="6"/>
  <c r="X5" i="6" l="1"/>
  <c r="X4" i="6"/>
  <c r="X29" i="6"/>
  <c r="V5" i="6"/>
  <c r="V4" i="6"/>
  <c r="XEB22" i="6"/>
  <c r="R26" i="6"/>
  <c r="V29" i="6"/>
  <c r="AB26" i="6"/>
  <c r="S7" i="6" l="1"/>
  <c r="N26" i="6"/>
  <c r="O26" i="6"/>
  <c r="P26" i="6"/>
  <c r="M4" i="6" l="1"/>
  <c r="S4" i="6" s="1"/>
  <c r="M5" i="6" l="1"/>
  <c r="S5" i="6" s="1"/>
  <c r="P38" i="4" l="1"/>
  <c r="P3" i="4"/>
  <c r="P25" i="4"/>
  <c r="P4" i="4"/>
  <c r="Q4" i="4"/>
  <c r="Q3" i="4"/>
  <c r="O24" i="4" l="1"/>
  <c r="N24" i="4" s="1"/>
  <c r="P24" i="4"/>
  <c r="Q24" i="4"/>
  <c r="X26" i="6" l="1"/>
  <c r="L24" i="4"/>
  <c r="M24" i="4" s="1"/>
  <c r="Q26" i="6" l="1"/>
  <c r="AJ20" i="6" s="1"/>
  <c r="Y26" i="6"/>
  <c r="V26" i="6" l="1"/>
  <c r="S25" i="6"/>
  <c r="S26" i="6" s="1"/>
  <c r="P58" i="4" l="1"/>
  <c r="P43" i="4" l="1"/>
  <c r="Q43" i="4"/>
  <c r="P42" i="4"/>
  <c r="Q56" i="4" l="1"/>
  <c r="P56" i="4"/>
  <c r="O56" i="4"/>
  <c r="N56" i="4" s="1"/>
  <c r="Q39" i="4"/>
  <c r="P39" i="4"/>
  <c r="O39" i="4"/>
  <c r="N39" i="4" s="1"/>
  <c r="Q57" i="4"/>
  <c r="P57" i="4"/>
  <c r="O57" i="4"/>
  <c r="N57" i="4" s="1"/>
  <c r="L56" i="4" l="1"/>
  <c r="M56" i="4" s="1"/>
  <c r="L39" i="4"/>
  <c r="M39" i="4" s="1"/>
  <c r="L57" i="4"/>
  <c r="M57" i="4" s="1"/>
  <c r="Q50" i="4" l="1"/>
  <c r="P50" i="4"/>
  <c r="O50" i="4"/>
  <c r="L50" i="4" s="1"/>
  <c r="M50" i="4" s="1"/>
  <c r="Q54" i="4"/>
  <c r="P54" i="4"/>
  <c r="O54" i="4"/>
  <c r="N54" i="4" s="1"/>
  <c r="N50" i="4" l="1"/>
  <c r="L54" i="4"/>
  <c r="M54" i="4" s="1"/>
  <c r="Q52" i="4"/>
  <c r="P52" i="4"/>
  <c r="O52" i="4"/>
  <c r="L52" i="4" s="1"/>
  <c r="M52" i="4" s="1"/>
  <c r="N52" i="4" l="1"/>
  <c r="Q42" i="4" l="1"/>
  <c r="O42" i="4"/>
  <c r="L42" i="4" s="1"/>
  <c r="M42" i="4" s="1"/>
  <c r="O43" i="4"/>
  <c r="N43" i="4" s="1"/>
  <c r="N42" i="4" l="1"/>
  <c r="L43" i="4"/>
  <c r="M43" i="4" s="1"/>
  <c r="O44" i="4" l="1"/>
  <c r="L44" i="4" s="1"/>
  <c r="M44" i="4" s="1"/>
  <c r="P44" i="4"/>
  <c r="Q44" i="4"/>
  <c r="N44" i="4" l="1"/>
  <c r="O10" i="4" l="1"/>
  <c r="N10" i="4" s="1"/>
  <c r="P10" i="4"/>
  <c r="Q10" i="4"/>
  <c r="O17" i="4"/>
  <c r="L17" i="4" s="1"/>
  <c r="M17" i="4" s="1"/>
  <c r="P17" i="4"/>
  <c r="Q17" i="4"/>
  <c r="O12" i="4"/>
  <c r="L12" i="4" s="1"/>
  <c r="M12" i="4" s="1"/>
  <c r="P12" i="4"/>
  <c r="Q12" i="4"/>
  <c r="L10" i="4" l="1"/>
  <c r="M10" i="4" s="1"/>
  <c r="N17" i="4"/>
  <c r="N12" i="4"/>
  <c r="O13" i="4" l="1"/>
  <c r="L13" i="4" s="1"/>
  <c r="M13" i="4" s="1"/>
  <c r="P13" i="4"/>
  <c r="Q13" i="4"/>
  <c r="N13" i="4" l="1"/>
  <c r="L68" i="4" l="1"/>
  <c r="M68" i="4" s="1"/>
  <c r="M26" i="6" l="1"/>
  <c r="L71" i="4" l="1"/>
  <c r="M71" i="4" s="1"/>
  <c r="N70" i="4"/>
  <c r="L69" i="4"/>
  <c r="M69" i="4" s="1"/>
  <c r="N68" i="4"/>
  <c r="N67" i="4"/>
  <c r="L66" i="4"/>
  <c r="M66" i="4" s="1"/>
  <c r="L65" i="4"/>
  <c r="M65" i="4" s="1"/>
  <c r="N64" i="4"/>
  <c r="N63" i="4"/>
  <c r="L62" i="4"/>
  <c r="M62" i="4" s="1"/>
  <c r="L61" i="4"/>
  <c r="M61" i="4" s="1"/>
  <c r="N60" i="4"/>
  <c r="N59" i="4"/>
  <c r="Q58" i="4"/>
  <c r="O58" i="4"/>
  <c r="L58" i="4" s="1"/>
  <c r="M58" i="4" s="1"/>
  <c r="Q55" i="4"/>
  <c r="P55" i="4"/>
  <c r="O55" i="4"/>
  <c r="N55" i="4" s="1"/>
  <c r="Q53" i="4"/>
  <c r="P53" i="4"/>
  <c r="O53" i="4"/>
  <c r="L53" i="4" s="1"/>
  <c r="M53" i="4" s="1"/>
  <c r="Q51" i="4"/>
  <c r="P51" i="4"/>
  <c r="O51" i="4"/>
  <c r="N51" i="4" s="1"/>
  <c r="Q49" i="4"/>
  <c r="P49" i="4"/>
  <c r="O49" i="4"/>
  <c r="L49" i="4" s="1"/>
  <c r="M49" i="4" s="1"/>
  <c r="Q48" i="4"/>
  <c r="P48" i="4"/>
  <c r="O48" i="4"/>
  <c r="N48" i="4" s="1"/>
  <c r="Q47" i="4"/>
  <c r="P47" i="4"/>
  <c r="O47" i="4"/>
  <c r="N47" i="4" s="1"/>
  <c r="Q46" i="4"/>
  <c r="P46" i="4"/>
  <c r="O46" i="4"/>
  <c r="L46" i="4" s="1"/>
  <c r="M46" i="4" s="1"/>
  <c r="Q45" i="4"/>
  <c r="P45" i="4"/>
  <c r="O45" i="4"/>
  <c r="L45" i="4" s="1"/>
  <c r="M45" i="4" s="1"/>
  <c r="Q41" i="4"/>
  <c r="P41" i="4"/>
  <c r="O41" i="4"/>
  <c r="N41" i="4" s="1"/>
  <c r="Q40" i="4"/>
  <c r="P40" i="4"/>
  <c r="O40" i="4"/>
  <c r="N40" i="4" s="1"/>
  <c r="Q38" i="4"/>
  <c r="O38" i="4"/>
  <c r="L38" i="4" s="1"/>
  <c r="M38" i="4" s="1"/>
  <c r="Q37" i="4"/>
  <c r="P37" i="4"/>
  <c r="O37" i="4"/>
  <c r="N37" i="4" s="1"/>
  <c r="Q36" i="4"/>
  <c r="P36" i="4"/>
  <c r="O36" i="4"/>
  <c r="N36" i="4" s="1"/>
  <c r="Q35" i="4"/>
  <c r="P35" i="4"/>
  <c r="O35" i="4"/>
  <c r="N35" i="4" s="1"/>
  <c r="Q34" i="4"/>
  <c r="P34" i="4"/>
  <c r="O34" i="4"/>
  <c r="L34" i="4" s="1"/>
  <c r="M34" i="4" s="1"/>
  <c r="Q33" i="4"/>
  <c r="P33" i="4"/>
  <c r="O33" i="4"/>
  <c r="L33" i="4" s="1"/>
  <c r="M33" i="4" s="1"/>
  <c r="Q32" i="4"/>
  <c r="P32" i="4"/>
  <c r="O32" i="4"/>
  <c r="L32" i="4" s="1"/>
  <c r="M32" i="4" s="1"/>
  <c r="Q31" i="4"/>
  <c r="P31" i="4"/>
  <c r="O31" i="4"/>
  <c r="N31" i="4" s="1"/>
  <c r="Q30" i="4"/>
  <c r="P30" i="4"/>
  <c r="O30" i="4"/>
  <c r="L30" i="4" s="1"/>
  <c r="M30" i="4" s="1"/>
  <c r="Q29" i="4"/>
  <c r="P29" i="4"/>
  <c r="O29" i="4"/>
  <c r="L29" i="4" s="1"/>
  <c r="M29" i="4" s="1"/>
  <c r="Q28" i="4"/>
  <c r="P28" i="4"/>
  <c r="O28" i="4"/>
  <c r="N28" i="4" s="1"/>
  <c r="Q27" i="4"/>
  <c r="P27" i="4"/>
  <c r="O27" i="4"/>
  <c r="N27" i="4" s="1"/>
  <c r="Q26" i="4"/>
  <c r="P26" i="4"/>
  <c r="O26" i="4"/>
  <c r="L26" i="4" s="1"/>
  <c r="M26" i="4" s="1"/>
  <c r="Q25" i="4"/>
  <c r="O25" i="4"/>
  <c r="N25" i="4" s="1"/>
  <c r="Q23" i="4"/>
  <c r="P23" i="4"/>
  <c r="O23" i="4"/>
  <c r="N23" i="4" s="1"/>
  <c r="Q22" i="4"/>
  <c r="P22" i="4"/>
  <c r="O22" i="4"/>
  <c r="L22" i="4" s="1"/>
  <c r="M22" i="4" s="1"/>
  <c r="Q21" i="4"/>
  <c r="P21" i="4"/>
  <c r="O21" i="4"/>
  <c r="N21" i="4" s="1"/>
  <c r="Q20" i="4"/>
  <c r="P20" i="4"/>
  <c r="O20" i="4"/>
  <c r="L20" i="4" s="1"/>
  <c r="M20" i="4" s="1"/>
  <c r="Q19" i="4"/>
  <c r="P19" i="4"/>
  <c r="O19" i="4"/>
  <c r="N19" i="4" s="1"/>
  <c r="Q18" i="4"/>
  <c r="P18" i="4"/>
  <c r="O18" i="4"/>
  <c r="L18" i="4" s="1"/>
  <c r="M18" i="4" s="1"/>
  <c r="Q16" i="4"/>
  <c r="O16" i="4"/>
  <c r="L16" i="4" s="1"/>
  <c r="M16" i="4" s="1"/>
  <c r="Q15" i="4"/>
  <c r="P15" i="4"/>
  <c r="O15" i="4"/>
  <c r="L15" i="4" s="1"/>
  <c r="M15" i="4" s="1"/>
  <c r="Q14" i="4"/>
  <c r="P14" i="4"/>
  <c r="O14" i="4"/>
  <c r="N14" i="4" s="1"/>
  <c r="Q11" i="4"/>
  <c r="P11" i="4"/>
  <c r="O11" i="4"/>
  <c r="L11" i="4" s="1"/>
  <c r="M11" i="4" s="1"/>
  <c r="Q9" i="4"/>
  <c r="P9" i="4"/>
  <c r="O9" i="4"/>
  <c r="N9" i="4" s="1"/>
  <c r="Q8" i="4"/>
  <c r="P8" i="4"/>
  <c r="O8" i="4"/>
  <c r="N8" i="4" s="1"/>
  <c r="Q7" i="4"/>
  <c r="P7" i="4"/>
  <c r="O7" i="4"/>
  <c r="N7" i="4" s="1"/>
  <c r="Q6" i="4"/>
  <c r="P6" i="4"/>
  <c r="O6" i="4"/>
  <c r="L6" i="4" s="1"/>
  <c r="M6" i="4" s="1"/>
  <c r="Q5" i="4"/>
  <c r="P5" i="4"/>
  <c r="O5" i="4"/>
  <c r="N5" i="4" s="1"/>
  <c r="O4" i="4"/>
  <c r="N4" i="4" s="1"/>
  <c r="L14" i="4" l="1"/>
  <c r="M14" i="4" s="1"/>
  <c r="N33" i="4"/>
  <c r="N61" i="4"/>
  <c r="L63" i="4"/>
  <c r="M63" i="4" s="1"/>
  <c r="N65" i="4"/>
  <c r="N62" i="4"/>
  <c r="L64" i="4"/>
  <c r="M64" i="4" s="1"/>
  <c r="L51" i="4"/>
  <c r="M51" i="4" s="1"/>
  <c r="L35" i="4"/>
  <c r="M35" i="4" s="1"/>
  <c r="L31" i="4"/>
  <c r="M31" i="4" s="1"/>
  <c r="N45" i="4"/>
  <c r="L8" i="4"/>
  <c r="M8" i="4" s="1"/>
  <c r="N34" i="4"/>
  <c r="N16" i="4"/>
  <c r="N22" i="4"/>
  <c r="N53" i="4"/>
  <c r="N58" i="4"/>
  <c r="L5" i="4"/>
  <c r="M5" i="4" s="1"/>
  <c r="L28" i="4"/>
  <c r="M28" i="4" s="1"/>
  <c r="L55" i="4"/>
  <c r="M55" i="4" s="1"/>
  <c r="N26" i="4"/>
  <c r="N20" i="4"/>
  <c r="L47" i="4"/>
  <c r="M47" i="4" s="1"/>
  <c r="N6" i="4"/>
  <c r="N15" i="4"/>
  <c r="L25" i="4"/>
  <c r="M25" i="4" s="1"/>
  <c r="N29" i="4"/>
  <c r="N46" i="4"/>
  <c r="L48" i="4"/>
  <c r="M48" i="4" s="1"/>
  <c r="N38" i="4"/>
  <c r="L19" i="4"/>
  <c r="M19" i="4" s="1"/>
  <c r="N32" i="4"/>
  <c r="L9" i="4"/>
  <c r="M9" i="4" s="1"/>
  <c r="N49" i="4"/>
  <c r="L67" i="4"/>
  <c r="M67" i="4" s="1"/>
  <c r="L21" i="4"/>
  <c r="M21" i="4" s="1"/>
  <c r="L37" i="4"/>
  <c r="M37" i="4" s="1"/>
  <c r="N11" i="4"/>
  <c r="L23" i="4"/>
  <c r="M23" i="4" s="1"/>
  <c r="N30" i="4"/>
  <c r="L40" i="4"/>
  <c r="M40" i="4" s="1"/>
  <c r="L59" i="4"/>
  <c r="M59" i="4" s="1"/>
  <c r="N66" i="4"/>
  <c r="L7" i="4"/>
  <c r="M7" i="4" s="1"/>
  <c r="N18" i="4"/>
  <c r="L27" i="4"/>
  <c r="M27" i="4" s="1"/>
  <c r="L36" i="4"/>
  <c r="M36" i="4" s="1"/>
  <c r="L41" i="4"/>
  <c r="M41" i="4" s="1"/>
  <c r="L60" i="4"/>
  <c r="M60" i="4" s="1"/>
  <c r="L4" i="4"/>
  <c r="M4" i="4" s="1"/>
  <c r="L70" i="4"/>
  <c r="M70" i="4" s="1"/>
  <c r="N69" i="4"/>
  <c r="N71" i="4"/>
  <c r="O3" i="4" l="1"/>
  <c r="L3" i="4" s="1"/>
  <c r="M3" i="4" s="1"/>
  <c r="N3" i="4" l="1"/>
  <c r="I1" i="4" l="1"/>
  <c r="U5" i="6" l="1"/>
  <c r="AA5" i="6" s="1"/>
  <c r="U20" i="6"/>
  <c r="AA20" i="6" s="1"/>
  <c r="AC20" i="6" s="1"/>
  <c r="U19" i="6"/>
  <c r="AA19" i="6" s="1"/>
  <c r="AC19" i="6" s="1"/>
  <c r="U25" i="6"/>
  <c r="AA25" i="6" s="1"/>
  <c r="AC25" i="6" s="1"/>
  <c r="U24" i="6"/>
  <c r="AA24" i="6" s="1"/>
  <c r="AC24" i="6" s="1"/>
  <c r="U7" i="6"/>
  <c r="AA7" i="6" s="1"/>
  <c r="U23" i="6"/>
  <c r="AA23" i="6" s="1"/>
  <c r="AC23" i="6" s="1"/>
  <c r="U6" i="6"/>
  <c r="AA6" i="6" s="1"/>
  <c r="U21" i="6"/>
  <c r="AA21" i="6" s="1"/>
  <c r="AC21" i="6" s="1"/>
  <c r="U4" i="6"/>
  <c r="AA4" i="6" s="1"/>
  <c r="AC7" i="6" l="1"/>
  <c r="AC5" i="6"/>
  <c r="AC6" i="6"/>
  <c r="U26" i="6"/>
  <c r="AC4" i="6" l="1"/>
  <c r="AC26" i="6" s="1"/>
  <c r="AA26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Silvia</author>
  </authors>
  <commentList>
    <comment ref="AI18" authorId="0" shapeId="0" xr:uid="{49849063-F3FE-41F1-B73C-B66C8D3B40D9}">
      <text>
        <r>
          <rPr>
            <b/>
            <sz val="9"/>
            <color indexed="81"/>
            <rFont val="Tahoma"/>
            <family val="2"/>
          </rPr>
          <t>cogete toda la semana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fichier_localite-1" description="Conexión a la consulta 'fichier_localite-1' en el libro." type="5" refreshedVersion="0" background="1">
    <dbPr connection="Provider=Microsoft.Mashup.OleDb.1;Data Source=$Workbook$;Location=fichier_localite-1;Extended Properties=&quot;&quot;" command="SELECT * FROM [fichier_localite-1]"/>
  </connection>
  <connection id="2" xr16:uid="{00000000-0015-0000-FFFF-FFFF01000000}" keepAlive="1" name="Consulta - fichier_localite-1 (2)" description="Conexión a la consulta 'fichier_localite-1 (2)' en el libro." type="5" refreshedVersion="0" background="1">
    <dbPr connection="Provider=Microsoft.Mashup.OleDb.1;Data Source=$Workbook$;Location=fichier_localite-1 (2);Extended Properties=&quot;&quot;" command="SELECT * FROM [fichier_localite-1 (2)]"/>
  </connection>
</connections>
</file>

<file path=xl/sharedStrings.xml><?xml version="1.0" encoding="utf-8"?>
<sst xmlns="http://schemas.openxmlformats.org/spreadsheetml/2006/main" count="497" uniqueCount="302">
  <si>
    <t>Detalles para Suma de STOCK</t>
  </si>
  <si>
    <t>Producto Gnra</t>
  </si>
  <si>
    <t>Producto</t>
  </si>
  <si>
    <t>STOCK</t>
  </si>
  <si>
    <t>A-Rosas-Colo</t>
  </si>
  <si>
    <t>A-Rosas-Colores-30_1</t>
  </si>
  <si>
    <t>A-Rosas-Colores-40_2</t>
  </si>
  <si>
    <t>A-Rosas-Colores-50_3</t>
  </si>
  <si>
    <t>A-Rosas-Colores-60_4</t>
  </si>
  <si>
    <t>A-Rosas-Tern</t>
  </si>
  <si>
    <t>A-Rosas-Ternura-30_1</t>
  </si>
  <si>
    <t>A-Rosas-Ternura-40_2</t>
  </si>
  <si>
    <t>A-Rosas-Ternura-50_3</t>
  </si>
  <si>
    <t>A-Rosas-Ternura-60_4</t>
  </si>
  <si>
    <t>A-Rose-Ethio</t>
  </si>
  <si>
    <t>A-Rose-Ethiopia-30_1</t>
  </si>
  <si>
    <t>A-Rose-Ethiopia-40_2</t>
  </si>
  <si>
    <t>A-Rose-Ethiopia-50_3</t>
  </si>
  <si>
    <t>A-Rose-Ethiopia-60_4</t>
  </si>
  <si>
    <t>C-AUTHENTIQU</t>
  </si>
  <si>
    <t>C-AUTHENTIQUE_1</t>
  </si>
  <si>
    <t>C-AUTHENTIQUE_2</t>
  </si>
  <si>
    <t>C-AUTOMNE-bq</t>
  </si>
  <si>
    <t>C-AUTOMNE-bqt_1</t>
  </si>
  <si>
    <t>C-AUTOMNE-bqt_2</t>
  </si>
  <si>
    <t>C-AUTOMNE-bqt_3</t>
  </si>
  <si>
    <t>C-BLEU-PARFU</t>
  </si>
  <si>
    <t>C-BLEU-PARFUME_1</t>
  </si>
  <si>
    <t>C-BLEU-PARFUME_2</t>
  </si>
  <si>
    <t>C-BLEU-PARFUME_3</t>
  </si>
  <si>
    <t>C-LUX_HORTEN</t>
  </si>
  <si>
    <t>C-LUX_HORTENSIA_SWEET_1</t>
  </si>
  <si>
    <t>C-LUX_HORTENSIA_SWEET_2</t>
  </si>
  <si>
    <t>C-LUX_HORTENSIA_SWEET_3</t>
  </si>
  <si>
    <t>C-PASTEL-HIV</t>
  </si>
  <si>
    <t>C-PASTEL-HIVERS_1</t>
  </si>
  <si>
    <t>C-RAMO_FLORI</t>
  </si>
  <si>
    <t>C-RAMO_FLORISTA_1</t>
  </si>
  <si>
    <t>C-RAMO_FLORISTA_2</t>
  </si>
  <si>
    <t>C-RAMO_FLORISTA_3</t>
  </si>
  <si>
    <t>C-ROMAN-STAT</t>
  </si>
  <si>
    <t>C-ROMAN-STATICE_1</t>
  </si>
  <si>
    <t>C-ROMAN-STATICE_2</t>
  </si>
  <si>
    <t>C-SCNEEBALL-</t>
  </si>
  <si>
    <t>C-SCNEEBALL-HORTENSIA_1</t>
  </si>
  <si>
    <t>C-TOSCANA_pa</t>
  </si>
  <si>
    <t>C-TOSCANA_pastel_1</t>
  </si>
  <si>
    <t>C-TOSCANA_pastel_2</t>
  </si>
  <si>
    <t>C-TOSCANA_pastel_3</t>
  </si>
  <si>
    <t>C-ZODIAC-SCO</t>
  </si>
  <si>
    <t>C-ZODIAC-SCORPION_1</t>
  </si>
  <si>
    <t>C-ZODIAC-SCORPION_2</t>
  </si>
  <si>
    <t>C-ZODIAC-SCORPION_3</t>
  </si>
  <si>
    <t>P-ANTHURIUM_</t>
  </si>
  <si>
    <t>P-ANTHURIUM_13cm</t>
  </si>
  <si>
    <t>P-AZALEE_14c</t>
  </si>
  <si>
    <t>P-AZALEE_14cm_1</t>
  </si>
  <si>
    <t>P-Bonsai_1</t>
  </si>
  <si>
    <t>P-Orquidea_p</t>
  </si>
  <si>
    <t>P-Orquidea_phal_blan_PROD_1</t>
  </si>
  <si>
    <t>P-Orquidea_phal_rose_1</t>
  </si>
  <si>
    <t>S-Alstro_par</t>
  </si>
  <si>
    <t>S-Alstro_parme_15_1</t>
  </si>
  <si>
    <t>S-Alstro_parme_20_2</t>
  </si>
  <si>
    <t>S-Alstro_parme_25_3</t>
  </si>
  <si>
    <t>S-Lilium-Ros</t>
  </si>
  <si>
    <t>S-Lilium-Rosa-06-P_1</t>
  </si>
  <si>
    <t>S-Lilium-Rosa-08-P_2</t>
  </si>
  <si>
    <t>S-Lilium-Rosa-10-P_3</t>
  </si>
  <si>
    <t>S-R-Blanc-Pr</t>
  </si>
  <si>
    <t>S-R-Blanc-Premi-12-P_1</t>
  </si>
  <si>
    <t>S-R-Blanc-Premi-24-P_3</t>
  </si>
  <si>
    <t>S-R-Blanc-Premi-30-P_4</t>
  </si>
  <si>
    <t>S-R-Premium-</t>
  </si>
  <si>
    <t>S-R-Premium-12-18-24-30_1</t>
  </si>
  <si>
    <t>S-R-Premium-12-18-24-30_2</t>
  </si>
  <si>
    <t>S-R-Premium-12-18-24-30_3</t>
  </si>
  <si>
    <t>S-R-Premium-12-18-24-30_4</t>
  </si>
  <si>
    <t>TOTALES</t>
  </si>
  <si>
    <t>Code Produit</t>
  </si>
  <si>
    <t>np</t>
  </si>
  <si>
    <t>Libelle Produit</t>
  </si>
  <si>
    <t>Stock Prepa</t>
  </si>
  <si>
    <t>Stock Fini</t>
  </si>
  <si>
    <t>Qte à expedier</t>
  </si>
  <si>
    <t>Solde</t>
  </si>
  <si>
    <t>Bloque</t>
  </si>
  <si>
    <t>ID_Produit</t>
  </si>
  <si>
    <t>ID</t>
  </si>
  <si>
    <t>letra categoria</t>
  </si>
  <si>
    <t>CATEGORIA</t>
  </si>
  <si>
    <t>STOCK PREPA</t>
  </si>
  <si>
    <t>C-Lys_champetre_2</t>
  </si>
  <si>
    <t>S-R-Blanc-Premi-18-P_2</t>
  </si>
  <si>
    <t>Compras</t>
  </si>
  <si>
    <t>Ten</t>
  </si>
  <si>
    <t>Nec</t>
  </si>
  <si>
    <t>Resto</t>
  </si>
  <si>
    <t>Suma de STOCK</t>
  </si>
  <si>
    <t>Total</t>
  </si>
  <si>
    <t xml:space="preserve"> </t>
  </si>
  <si>
    <t>Hay</t>
  </si>
  <si>
    <t>pdtes</t>
  </si>
  <si>
    <t>L</t>
  </si>
  <si>
    <t>M</t>
  </si>
  <si>
    <t>X</t>
  </si>
  <si>
    <t>J</t>
  </si>
  <si>
    <t>Tenemos</t>
  </si>
  <si>
    <t>Necesito</t>
  </si>
  <si>
    <t>Restante</t>
  </si>
  <si>
    <t>V</t>
  </si>
  <si>
    <t>(en blanco)</t>
  </si>
  <si>
    <t>COMPUESTOS</t>
  </si>
  <si>
    <t>Colores</t>
  </si>
  <si>
    <t>Total (en blanco)</t>
  </si>
  <si>
    <t>PLANTAS</t>
  </si>
  <si>
    <t>ROSAS</t>
  </si>
  <si>
    <t>SIMPLES</t>
  </si>
  <si>
    <t>Total general</t>
  </si>
  <si>
    <t>C-Lys_champe</t>
  </si>
  <si>
    <t>Mailing</t>
  </si>
  <si>
    <t>Compuestos</t>
  </si>
  <si>
    <t>Pedidos acumulados</t>
  </si>
  <si>
    <t>Pendientes por llegar</t>
  </si>
  <si>
    <t>,</t>
  </si>
  <si>
    <t>Pendientes por salir</t>
  </si>
  <si>
    <t>total</t>
  </si>
  <si>
    <t>N tallos</t>
  </si>
  <si>
    <t>N bqts</t>
  </si>
  <si>
    <t>Rosas Rosalink</t>
  </si>
  <si>
    <t>Ethiopia</t>
  </si>
  <si>
    <t>Premiun Rojas</t>
  </si>
  <si>
    <t>Rosas Rojas</t>
  </si>
  <si>
    <t>Premium Blancas</t>
  </si>
  <si>
    <t>Plantas</t>
  </si>
  <si>
    <t>S-Premium-12-18-24-30-roja_1</t>
  </si>
  <si>
    <t>S-Premium-12-18-24-30-roja_2</t>
  </si>
  <si>
    <t>S-Premium-12-18-24-30-roja_3</t>
  </si>
  <si>
    <t>S-Premium-12-18-24-30-roja_4</t>
  </si>
  <si>
    <t>S-Premium-12</t>
  </si>
  <si>
    <t>C-TOSCANA-PASTEL_1</t>
  </si>
  <si>
    <t>C-TOSCANA-PASTEL_2</t>
  </si>
  <si>
    <t>C-TOSCANA-PA</t>
  </si>
  <si>
    <t>C-STATICE-RO</t>
  </si>
  <si>
    <t>C-STATICE-ROMANTICO_1</t>
  </si>
  <si>
    <t>C-STATICE-ROMANTICO_2</t>
  </si>
  <si>
    <t>C-STATICE-ROMANTICO_3</t>
  </si>
  <si>
    <t>C-DEEP-PURPLE_1</t>
  </si>
  <si>
    <t>C-PIVOINE-PEPS-2026_1</t>
  </si>
  <si>
    <t>C-PIVOINE-PE</t>
  </si>
  <si>
    <t>S-Peonia-ros</t>
  </si>
  <si>
    <t>S-Peonia-rosa-12p_2</t>
  </si>
  <si>
    <t>C-TOURNESOL_1</t>
  </si>
  <si>
    <t>C-TOURNESOL_</t>
  </si>
  <si>
    <t>C-TOURNESOL_2</t>
  </si>
  <si>
    <t>C-TOURNESOL_3</t>
  </si>
  <si>
    <t>+++++</t>
  </si>
  <si>
    <t>X_PALETS_NOIR(220g)_1</t>
  </si>
  <si>
    <t>34200-1</t>
  </si>
  <si>
    <t>X-Boite-COEURS-230grs_1</t>
  </si>
  <si>
    <t>42109-1</t>
  </si>
  <si>
    <t>X-Foto_1</t>
  </si>
  <si>
    <t>50434-1</t>
  </si>
  <si>
    <t>X-Fruits-pate_amande240g_1</t>
  </si>
  <si>
    <t>18376-1</t>
  </si>
  <si>
    <t>X-Rochers-315g_2</t>
  </si>
  <si>
    <t>18257-2</t>
  </si>
  <si>
    <t>X-Rochers-490g_3</t>
  </si>
  <si>
    <t>18257-3</t>
  </si>
  <si>
    <t>S27</t>
  </si>
  <si>
    <t>S-vela-jardindurose-70g_1</t>
  </si>
  <si>
    <t>16288-1</t>
  </si>
  <si>
    <t>C-GIRASOLES-BQT_1</t>
  </si>
  <si>
    <t>C-ZODIAC-CANCER_1</t>
  </si>
  <si>
    <t>C-GIRASOLES-</t>
  </si>
  <si>
    <t>C-ZODIAC-CAN</t>
  </si>
  <si>
    <t>C-ZODIAC-CANCER_2</t>
  </si>
  <si>
    <t>S-Vase-TUBE-CRISTAL_1</t>
  </si>
  <si>
    <t>49399-1</t>
  </si>
  <si>
    <t>Del 29 al 05</t>
  </si>
  <si>
    <t>Eitopia</t>
  </si>
  <si>
    <t>C-DEEP-PURPL</t>
  </si>
  <si>
    <t>OBJETIVO S28</t>
  </si>
  <si>
    <t>C-AUTHENTIQUE_3</t>
  </si>
  <si>
    <t>C-DEEP-PURPLE_2</t>
  </si>
  <si>
    <t>C-DEEP-PURPLE_3</t>
  </si>
  <si>
    <t>C-TOSCANA-PASTEL_3</t>
  </si>
  <si>
    <t>Actúa como analista senior de ventas y forecasting en e-commerce floral.</t>
  </si>
  <si>
    <t>OBJETIVO</t>
  </si>
  <si>
    <t xml:space="preserve">Calcular cuántas ventas corresponden a cada referencia para las ventas restantes, manteniendo el mix real y priorizando fuertemente la recencia (especialmente los 2 últimos días). Ventas restantes : </t>
  </si>
  <si>
    <t>REGLAS OBLIGATORIAS</t>
  </si>
  <si>
    <t>1) Filtrado de referencias</t>
  </si>
  <si>
    <r>
      <t xml:space="preserve">Excluir cualquier referencia que empiece por: </t>
    </r>
    <r>
      <rPr>
        <sz val="10"/>
        <rFont val="Courier New"/>
        <family val="3"/>
      </rPr>
      <t>X-</t>
    </r>
    <r>
      <rPr>
        <sz val="12"/>
        <rFont val="Times New Roman"/>
        <family val="1"/>
      </rPr>
      <t xml:space="preserve"> o </t>
    </r>
    <r>
      <rPr>
        <sz val="10"/>
        <rFont val="Courier New"/>
        <family val="3"/>
      </rPr>
      <t>TF-</t>
    </r>
  </si>
  <si>
    <t>Excluir explícitamente:</t>
  </si>
  <si>
    <r>
      <t>S_ pot_blanco_13cm</t>
    </r>
    <r>
      <rPr>
        <sz val="12"/>
        <rFont val="Times New Roman"/>
        <family val="1"/>
      </rPr>
      <t xml:space="preserve">, </t>
    </r>
    <r>
      <rPr>
        <sz val="10"/>
        <rFont val="Courier New"/>
        <family val="3"/>
      </rPr>
      <t>S_zinc pot 14cm</t>
    </r>
    <r>
      <rPr>
        <sz val="12"/>
        <rFont val="Times New Roman"/>
        <family val="1"/>
      </rPr>
      <t xml:space="preserve">, </t>
    </r>
    <r>
      <rPr>
        <sz val="10"/>
        <rFont val="Courier New"/>
        <family val="3"/>
      </rPr>
      <t>S-POP_CHAT</t>
    </r>
  </si>
  <si>
    <t>2) Ponderación temporal (recencia)</t>
  </si>
  <si>
    <t>Aplicar pesos por día con prioridad fuerte a los 2 últimos días.</t>
  </si>
  <si>
    <t>Pesos por defecto:</t>
  </si>
  <si>
    <r>
      <t xml:space="preserve">Días anteriores (más antiguos) → </t>
    </r>
    <r>
      <rPr>
        <b/>
        <sz val="12"/>
        <rFont val="Times New Roman"/>
        <family val="1"/>
      </rPr>
      <t>peso 1</t>
    </r>
  </si>
  <si>
    <r>
      <t xml:space="preserve">Día anterior (penúltimo día) → </t>
    </r>
    <r>
      <rPr>
        <b/>
        <sz val="12"/>
        <rFont val="Times New Roman"/>
        <family val="1"/>
      </rPr>
      <t>peso 4</t>
    </r>
  </si>
  <si>
    <r>
      <t xml:space="preserve">Último día → </t>
    </r>
    <r>
      <rPr>
        <b/>
        <sz val="12"/>
        <rFont val="Times New Roman"/>
        <family val="1"/>
      </rPr>
      <t>peso 4</t>
    </r>
  </si>
  <si>
    <t>Si hay exactamente 3 días (ej. domingo, lunes, martes):</t>
  </si>
  <si>
    <t>domingo=1, lunes=4, martes=4</t>
  </si>
  <si>
    <t>Si hay más días:</t>
  </si>
  <si>
    <t>todos los anteriores=2, penúltimo=4, último=4</t>
  </si>
  <si>
    <t>Si solo hay totales (sin desglose por día), usar el total como peso base.</t>
  </si>
  <si>
    <t>3) Método de cálculo</t>
  </si>
  <si>
    <t>Calcular un peso por referencia con la ponderación anterior.</t>
  </si>
  <si>
    <t>Repartir el total de ventas pendientes proporcionalmente a ese peso.</t>
  </si>
  <si>
    <r>
      <t xml:space="preserve">Ajustar redondeos para que el total final sea </t>
    </r>
    <r>
      <rPr>
        <b/>
        <sz val="12"/>
        <rFont val="Times New Roman"/>
        <family val="1"/>
      </rPr>
      <t>exactamente</t>
    </r>
    <r>
      <rPr>
        <sz val="12"/>
        <rFont val="Times New Roman"/>
        <family val="1"/>
      </rPr>
      <t xml:space="preserve"> el total pendiente.</t>
    </r>
  </si>
  <si>
    <t>Puede haber algunas excepciones para el calculo cuyos porcentajes te los añada al lado de cada producto</t>
  </si>
  <si>
    <t>4) Formato de salida (CRÍTICO)</t>
  </si>
  <si>
    <r>
      <t xml:space="preserve">Devolver </t>
    </r>
    <r>
      <rPr>
        <b/>
        <sz val="12"/>
        <rFont val="Times New Roman"/>
        <family val="1"/>
      </rPr>
      <t>solo las cifras</t>
    </r>
    <r>
      <rPr>
        <sz val="12"/>
        <rFont val="Times New Roman"/>
        <family val="1"/>
      </rPr>
      <t>, una por línea.</t>
    </r>
  </si>
  <si>
    <t>Respetar estrictamente el orden del listado de referencias que yo indique.</t>
  </si>
  <si>
    <t>No incluir textos, títulos, tablas ni explicaciones.</t>
  </si>
  <si>
    <t>5) Control de calidad</t>
  </si>
  <si>
    <r>
      <t xml:space="preserve">Si una referencia del listado no aparece en los datos pegados, asignar </t>
    </r>
    <r>
      <rPr>
        <b/>
        <sz val="12"/>
        <rFont val="Times New Roman"/>
        <family val="1"/>
      </rPr>
      <t>0</t>
    </r>
    <r>
      <rPr>
        <sz val="12"/>
        <rFont val="Times New Roman"/>
        <family val="1"/>
      </rPr>
      <t>.</t>
    </r>
  </si>
  <si>
    <t>No inventar datos.</t>
  </si>
  <si>
    <t>A CONTINUACIÓN PEGARÉ:</t>
  </si>
  <si>
    <t>1. El listado de referencias en el orden exacto de salida</t>
  </si>
  <si>
    <t>2. La tabla de ventas recientes por dia</t>
  </si>
  <si>
    <r>
      <t>Produits de production - Commande par date de commande du </t>
    </r>
    <r>
      <rPr>
        <b/>
        <sz val="11"/>
        <color rgb="FF993333"/>
        <rFont val="Verdana"/>
        <family val="2"/>
      </rPr>
      <t>26062026</t>
    </r>
    <r>
      <rPr>
        <sz val="11"/>
        <color rgb="FF993333"/>
        <rFont val="Verdana"/>
        <family val="2"/>
      </rPr>
      <t> au </t>
    </r>
    <r>
      <rPr>
        <b/>
        <sz val="11"/>
        <color rgb="FF993333"/>
        <rFont val="Verdana"/>
        <family val="2"/>
      </rPr>
      <t>30062026</t>
    </r>
  </si>
  <si>
    <t>code</t>
  </si>
  <si>
    <t>type</t>
  </si>
  <si>
    <t>reference↓</t>
  </si>
  <si>
    <t>Vendredi 2026/06/26</t>
  </si>
  <si>
    <t>Samedi 2026/06/27</t>
  </si>
  <si>
    <t>Dimanche 2026/06/28</t>
  </si>
  <si>
    <t>Lundi 2026/06/29</t>
  </si>
  <si>
    <t>Mardi 2026/06/30</t>
  </si>
  <si>
    <t>  17127</t>
  </si>
  <si>
    <t>  Rose</t>
  </si>
  <si>
    <t>  A-Rosas-Colores-30-40-50-60</t>
  </si>
  <si>
    <t>  31056</t>
  </si>
  <si>
    <t>  A-Rose-Ethiopia</t>
  </si>
  <si>
    <t>  37006</t>
  </si>
  <si>
    <t>  Bouquet</t>
  </si>
  <si>
    <t>  C-AUTHENTIQUE</t>
  </si>
  <si>
    <t>  50971</t>
  </si>
  <si>
    <t>  C-BLEU-PARFUME</t>
  </si>
  <si>
    <t>  39319</t>
  </si>
  <si>
    <t>  C-deep-purple</t>
  </si>
  <si>
    <t>  45528</t>
  </si>
  <si>
    <t>  C-GIRASOLES-BQT</t>
  </si>
  <si>
    <t>  56058</t>
  </si>
  <si>
    <t>  C-Lys-champetre</t>
  </si>
  <si>
    <t>  49169</t>
  </si>
  <si>
    <t>  C-PASTEL_HIVERS</t>
  </si>
  <si>
    <t>  60906</t>
  </si>
  <si>
    <t>  C-PIVOINE-PEPS-2026</t>
  </si>
  <si>
    <t>  30640</t>
  </si>
  <si>
    <t>  C-RAMO-FLORISTA</t>
  </si>
  <si>
    <t>  37614</t>
  </si>
  <si>
    <t>  C-STATICE-ROMANTICO</t>
  </si>
  <si>
    <t>  35641</t>
  </si>
  <si>
    <t>  C-TOSCANA-PASTEL</t>
  </si>
  <si>
    <t>  38088</t>
  </si>
  <si>
    <t>  C-TOURNESOL</t>
  </si>
  <si>
    <t>  53933</t>
  </si>
  <si>
    <t>  C-ZODIAC-CANCER</t>
  </si>
  <si>
    <t>  27234</t>
  </si>
  <si>
    <t>  Plante</t>
  </si>
  <si>
    <t>  P-ANTHURIUM-ROJO</t>
  </si>
  <si>
    <t>  9031</t>
  </si>
  <si>
    <t>  P-Bonsai</t>
  </si>
  <si>
    <t>  33551</t>
  </si>
  <si>
    <t>  P-Orquidea_phal_BLANCA</t>
  </si>
  <si>
    <t>  28206</t>
  </si>
  <si>
    <t>  P-Orquidea_phal_ROSA</t>
  </si>
  <si>
    <t>  25148</t>
  </si>
  <si>
    <t>  S-Bras_Alstro_15_20_25</t>
  </si>
  <si>
    <t>  18397</t>
  </si>
  <si>
    <t>  S-Lilium-Rosa-6-8-10</t>
  </si>
  <si>
    <t>  27839</t>
  </si>
  <si>
    <t>  S-Peonia-SARA-10-12-15-18-</t>
  </si>
  <si>
    <t>  32486</t>
  </si>
  <si>
    <t>  S-Premium-12-18-24-30-roja</t>
  </si>
  <si>
    <t>  18919</t>
  </si>
  <si>
    <t>  S-R-Blanc-Prem-12-18-24-30</t>
  </si>
  <si>
    <t>  35805</t>
  </si>
  <si>
    <t>  Cadeau</t>
  </si>
  <si>
    <t>  S_ pot_blanco_13cm</t>
  </si>
  <si>
    <t>  35577</t>
  </si>
  <si>
    <t>  S_zinc pot 14cm</t>
  </si>
  <si>
    <t>  21576</t>
  </si>
  <si>
    <t>  TF-12 ROSAS ROJAS</t>
  </si>
  <si>
    <t>  29205</t>
  </si>
  <si>
    <t>  TF-Naranja - AQ001</t>
  </si>
  <si>
    <t>  18727</t>
  </si>
  <si>
    <t>  Deuil</t>
  </si>
  <si>
    <t>  TF-ramodifunto_TR32</t>
  </si>
  <si>
    <t>  21513</t>
  </si>
  <si>
    <t>  Compositions</t>
  </si>
  <si>
    <t>  TF-ramofunerario_TR3201</t>
  </si>
  <si>
    <t>  22652</t>
  </si>
  <si>
    <t>  TF-Rosa-AQ004</t>
  </si>
  <si>
    <t>  50434</t>
  </si>
  <si>
    <t>  Service</t>
  </si>
  <si>
    <t>  X-Foto</t>
  </si>
  <si>
    <t>  18257</t>
  </si>
  <si>
    <t>  Boite_gourmand</t>
  </si>
  <si>
    <t>  X-Rochers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</si>
</sst>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-* #,##0.00\ &quot;€&quot;_-;\-* #,##0.00\ &quot;€&quot;_-;_-* &quot;-&quot;??\ &quot;€&quot;_-;_-@_-"/>
    <numFmt numFmtId="164" formatCode="[$-409]d\-m\-yy\ h:mm\ AM/PM;@"/>
    <numFmt numFmtId="165" formatCode="[$-C0A]d\-mmm;@"/>
  </numFmts>
  <fonts count="87" x14ac:knownFonts="1">
    <font>
      <sz val="10"/>
      <name val="Arial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1"/>
      <color theme="1"/>
      <name val="Calibri"/>
      <family val="2"/>
      <scheme val="minor"/>
    </font>
    <font>
      <u/>
      <sz val="10"/>
      <color theme="10"/>
      <name val="Arial"/>
      <family val="2"/>
    </font>
    <font>
      <sz val="8"/>
      <color theme="1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8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8"/>
      <name val="Arial"/>
      <family val="2"/>
      <charset val="1"/>
    </font>
    <font>
      <sz val="8"/>
      <color theme="1"/>
      <name val="Arial"/>
      <family val="2"/>
      <charset val="1"/>
    </font>
    <font>
      <b/>
      <sz val="8"/>
      <color theme="1"/>
      <name val="Arial"/>
      <family val="2"/>
      <charset val="1"/>
    </font>
    <font>
      <b/>
      <sz val="10"/>
      <name val="Arial"/>
      <family val="2"/>
      <charset val="1"/>
    </font>
    <font>
      <sz val="6"/>
      <name val="Arial"/>
      <family val="2"/>
      <charset val="1"/>
    </font>
    <font>
      <b/>
      <sz val="10"/>
      <color theme="1"/>
      <name val="Arial"/>
      <family val="2"/>
    </font>
    <font>
      <sz val="9"/>
      <color theme="1"/>
      <name val="Calibri"/>
      <family val="2"/>
      <scheme val="minor"/>
    </font>
    <font>
      <b/>
      <sz val="8"/>
      <color rgb="FF00B050"/>
      <name val="Arial"/>
      <family val="2"/>
    </font>
    <font>
      <sz val="8"/>
      <color theme="7" tint="-0.249977111117893"/>
      <name val="Arial"/>
      <family val="2"/>
      <charset val="1"/>
    </font>
    <font>
      <b/>
      <sz val="8"/>
      <color rgb="FFFF0000"/>
      <name val="Arial"/>
      <family val="2"/>
      <charset val="1"/>
    </font>
    <font>
      <b/>
      <sz val="8"/>
      <name val="Arial"/>
      <family val="2"/>
      <charset val="1"/>
    </font>
    <font>
      <sz val="10"/>
      <color rgb="FF000000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3.5"/>
      <name val="Times New Roman"/>
      <family val="1"/>
    </font>
    <font>
      <sz val="10"/>
      <color theme="1"/>
      <name val="Arial"/>
      <family val="2"/>
      <charset val="1"/>
    </font>
    <font>
      <u/>
      <sz val="10"/>
      <color theme="10"/>
      <name val="Arial"/>
      <family val="2"/>
      <charset val="1"/>
    </font>
    <font>
      <sz val="10"/>
      <color rgb="FFFF0000"/>
      <name val="Arial"/>
      <family val="2"/>
      <charset val="1"/>
    </font>
    <font>
      <b/>
      <sz val="10"/>
      <color theme="0"/>
      <name val="Arial"/>
      <family val="2"/>
      <charset val="1"/>
    </font>
    <font>
      <b/>
      <sz val="10"/>
      <color theme="1"/>
      <name val="Arial"/>
      <family val="2"/>
      <charset val="1"/>
    </font>
    <font>
      <b/>
      <sz val="8"/>
      <color theme="1" tint="0.34998626667073579"/>
      <name val="Arial"/>
      <family val="2"/>
      <charset val="1"/>
    </font>
    <font>
      <sz val="8"/>
      <color rgb="FF00B050"/>
      <name val="Arial"/>
      <family val="2"/>
      <charset val="1"/>
    </font>
    <font>
      <b/>
      <sz val="10"/>
      <color rgb="FF00B050"/>
      <name val="Arial"/>
      <family val="2"/>
      <charset val="1"/>
    </font>
    <font>
      <sz val="10"/>
      <color theme="1" tint="0.499984740745262"/>
      <name val="Arial"/>
      <family val="2"/>
      <charset val="1"/>
    </font>
    <font>
      <b/>
      <i/>
      <sz val="8"/>
      <name val="Arial"/>
      <family val="2"/>
      <charset val="1"/>
    </font>
    <font>
      <b/>
      <u/>
      <sz val="9"/>
      <name val="Arial"/>
      <family val="2"/>
      <charset val="1"/>
    </font>
    <font>
      <sz val="9"/>
      <name val="Arial"/>
      <family val="2"/>
      <charset val="1"/>
    </font>
    <font>
      <b/>
      <sz val="8"/>
      <color rgb="FF00B050"/>
      <name val="Arial"/>
      <family val="2"/>
      <charset val="1"/>
    </font>
    <font>
      <b/>
      <i/>
      <sz val="10"/>
      <name val="Arial"/>
      <family val="2"/>
      <charset val="1"/>
    </font>
    <font>
      <sz val="10"/>
      <color theme="0"/>
      <name val="Arial"/>
      <family val="2"/>
      <charset val="1"/>
    </font>
    <font>
      <b/>
      <sz val="9"/>
      <color rgb="FF00B050"/>
      <name val="Arial"/>
      <family val="2"/>
      <charset val="1"/>
    </font>
    <font>
      <b/>
      <sz val="6"/>
      <name val="Arial"/>
      <family val="2"/>
      <charset val="1"/>
    </font>
    <font>
      <b/>
      <sz val="8"/>
      <color theme="7" tint="-0.249977111117893"/>
      <name val="Arial"/>
      <family val="2"/>
      <charset val="1"/>
    </font>
    <font>
      <b/>
      <sz val="8"/>
      <color theme="9" tint="-0.249977111117893"/>
      <name val="Arial"/>
      <family val="2"/>
      <charset val="1"/>
    </font>
    <font>
      <sz val="11"/>
      <color rgb="FF993333"/>
      <name val="Verdana"/>
      <family val="2"/>
    </font>
    <font>
      <b/>
      <sz val="8"/>
      <color rgb="FF447777"/>
      <name val="Verdana"/>
      <family val="2"/>
    </font>
    <font>
      <b/>
      <sz val="8"/>
      <color theme="0"/>
      <name val="Verdana"/>
      <family val="2"/>
    </font>
    <font>
      <sz val="8"/>
      <color rgb="FF9C0006"/>
      <name val="Arial"/>
      <family val="2"/>
    </font>
    <font>
      <sz val="12"/>
      <color rgb="FFFF0000"/>
      <name val="Times New Roman"/>
      <family val="1"/>
    </font>
    <font>
      <sz val="10"/>
      <name val="Courier New"/>
      <family val="3"/>
    </font>
    <font>
      <b/>
      <sz val="11"/>
      <color rgb="FF993333"/>
      <name val="Verdana"/>
      <family val="2"/>
    </font>
    <font>
      <sz val="8"/>
      <color rgb="FF447777"/>
      <name val="Verdana"/>
      <family val="2"/>
    </font>
  </fonts>
  <fills count="2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/>
        <bgColor theme="5"/>
      </patternFill>
    </fill>
    <fill>
      <patternFill patternType="solid">
        <fgColor rgb="FFEEEEEE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2F6FA"/>
        <bgColor indexed="64"/>
      </patternFill>
    </fill>
    <fill>
      <patternFill patternType="solid">
        <fgColor rgb="FFF6FAFB"/>
        <bgColor indexed="64"/>
      </patternFill>
    </fill>
    <fill>
      <patternFill patternType="solid">
        <fgColor rgb="FFE6EAEB"/>
        <bgColor indexed="64"/>
      </patternFill>
    </fill>
    <fill>
      <patternFill patternType="solid">
        <fgColor rgb="FFFFFFFF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rgb="FFACB2B2"/>
      </left>
      <right style="medium">
        <color rgb="FFACB2B2"/>
      </right>
      <top style="medium">
        <color rgb="FFACB2B2"/>
      </top>
      <bottom style="medium">
        <color rgb="FFACB2B2"/>
      </bottom>
      <diagonal/>
    </border>
    <border>
      <left style="medium">
        <color rgb="FFDCE2E2"/>
      </left>
      <right/>
      <top/>
      <bottom/>
      <diagonal/>
    </border>
    <border>
      <left style="medium">
        <color rgb="FFDCE2E2"/>
      </left>
      <right/>
      <top/>
      <bottom style="medium">
        <color rgb="FFDCE2E2"/>
      </bottom>
      <diagonal/>
    </border>
    <border>
      <left style="medium">
        <color rgb="FFDCE2E2"/>
      </left>
      <right style="medium">
        <color rgb="FFDCE2E2"/>
      </right>
      <top style="medium">
        <color rgb="FFDCE2E2"/>
      </top>
      <bottom style="medium">
        <color rgb="FFDCE2E2"/>
      </bottom>
      <diagonal/>
    </border>
    <border>
      <left/>
      <right/>
      <top/>
      <bottom style="medium">
        <color rgb="FFDCE2E2"/>
      </bottom>
      <diagonal/>
    </border>
  </borders>
  <cellStyleXfs count="49">
    <xf numFmtId="0" fontId="0" fillId="0" borderId="0"/>
    <xf numFmtId="0" fontId="33" fillId="0" borderId="0"/>
    <xf numFmtId="0" fontId="37" fillId="0" borderId="0" applyNumberFormat="0" applyFill="0" applyBorder="0" applyAlignment="0" applyProtection="0"/>
    <xf numFmtId="0" fontId="33" fillId="0" borderId="0"/>
    <xf numFmtId="0" fontId="36" fillId="0" borderId="0"/>
    <xf numFmtId="0" fontId="39" fillId="0" borderId="0"/>
    <xf numFmtId="0" fontId="40" fillId="0" borderId="0"/>
    <xf numFmtId="0" fontId="32" fillId="0" borderId="0"/>
    <xf numFmtId="44" fontId="32" fillId="0" borderId="0" applyFont="0" applyFill="0" applyBorder="0" applyAlignment="0" applyProtection="0"/>
    <xf numFmtId="0" fontId="31" fillId="0" borderId="0"/>
    <xf numFmtId="44" fontId="31" fillId="0" borderId="0" applyFont="0" applyFill="0" applyBorder="0" applyAlignment="0" applyProtection="0"/>
    <xf numFmtId="0" fontId="30" fillId="0" borderId="0"/>
    <xf numFmtId="44" fontId="30" fillId="0" borderId="0" applyFont="0" applyFill="0" applyBorder="0" applyAlignment="0" applyProtection="0"/>
    <xf numFmtId="0" fontId="29" fillId="0" borderId="0"/>
    <xf numFmtId="44" fontId="29" fillId="0" borderId="0" applyFont="0" applyFill="0" applyBorder="0" applyAlignment="0" applyProtection="0"/>
    <xf numFmtId="0" fontId="28" fillId="0" borderId="0"/>
    <xf numFmtId="44" fontId="28" fillId="0" borderId="0" applyFont="0" applyFill="0" applyBorder="0" applyAlignment="0" applyProtection="0"/>
    <xf numFmtId="0" fontId="27" fillId="0" borderId="0"/>
    <xf numFmtId="44" fontId="27" fillId="0" borderId="0" applyFont="0" applyFill="0" applyBorder="0" applyAlignment="0" applyProtection="0"/>
    <xf numFmtId="164" fontId="33" fillId="0" borderId="0"/>
    <xf numFmtId="0" fontId="26" fillId="0" borderId="0"/>
    <xf numFmtId="0" fontId="44" fillId="0" borderId="0" applyNumberFormat="0" applyFill="0" applyBorder="0" applyAlignment="0" applyProtection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44" fillId="0" borderId="0" applyNumberFormat="0" applyFill="0" applyBorder="0" applyAlignment="0" applyProtection="0"/>
    <xf numFmtId="0" fontId="20" fillId="0" borderId="0"/>
    <xf numFmtId="0" fontId="19" fillId="0" borderId="0"/>
    <xf numFmtId="0" fontId="18" fillId="0" borderId="0"/>
    <xf numFmtId="0" fontId="17" fillId="0" borderId="0"/>
    <xf numFmtId="0" fontId="44" fillId="0" borderId="0" applyNumberFormat="0" applyFill="0" applyBorder="0" applyAlignment="0" applyProtection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231">
    <xf numFmtId="0" fontId="0" fillId="0" borderId="0" xfId="0"/>
    <xf numFmtId="0" fontId="66" fillId="0" borderId="10" xfId="0" applyFont="1" applyBorder="1" applyAlignment="1">
      <alignment horizontal="center" vertical="center"/>
    </xf>
    <xf numFmtId="0" fontId="0" fillId="0" borderId="0" xfId="1" applyFont="1" applyAlignment="1">
      <alignment horizontal="center" vertical="center" wrapText="1"/>
    </xf>
    <xf numFmtId="3" fontId="33" fillId="0" borderId="0" xfId="0" applyNumberFormat="1" applyFont="1"/>
    <xf numFmtId="2" fontId="33" fillId="0" borderId="0" xfId="0" applyNumberFormat="1" applyFont="1"/>
    <xf numFmtId="0" fontId="33" fillId="0" borderId="1" xfId="0" applyFont="1" applyBorder="1"/>
    <xf numFmtId="0" fontId="33" fillId="0" borderId="2" xfId="0" applyFont="1" applyBorder="1"/>
    <xf numFmtId="0" fontId="33" fillId="0" borderId="3" xfId="0" applyFont="1" applyBorder="1"/>
    <xf numFmtId="0" fontId="33" fillId="0" borderId="0" xfId="1" applyAlignment="1">
      <alignment horizontal="center" vertical="center" wrapText="1"/>
    </xf>
    <xf numFmtId="1" fontId="33" fillId="0" borderId="0" xfId="0" applyNumberFormat="1" applyFont="1"/>
    <xf numFmtId="0" fontId="33" fillId="4" borderId="0" xfId="0" applyFont="1" applyFill="1"/>
    <xf numFmtId="3" fontId="0" fillId="0" borderId="0" xfId="0" applyNumberFormat="1"/>
    <xf numFmtId="0" fontId="34" fillId="0" borderId="0" xfId="0" applyFont="1"/>
    <xf numFmtId="2" fontId="33" fillId="0" borderId="0" xfId="1" applyNumberFormat="1" applyAlignment="1">
      <alignment horizontal="center" vertical="center" wrapText="1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1" fontId="0" fillId="0" borderId="0" xfId="0" applyNumberFormat="1"/>
    <xf numFmtId="0" fontId="33" fillId="0" borderId="0" xfId="0" applyFont="1"/>
    <xf numFmtId="0" fontId="45" fillId="0" borderId="0" xfId="0" applyFont="1"/>
    <xf numFmtId="1" fontId="0" fillId="0" borderId="13" xfId="0" applyNumberFormat="1" applyBorder="1"/>
    <xf numFmtId="10" fontId="0" fillId="0" borderId="10" xfId="0" applyNumberFormat="1" applyBorder="1"/>
    <xf numFmtId="14" fontId="0" fillId="0" borderId="0" xfId="0" applyNumberFormat="1"/>
    <xf numFmtId="3" fontId="0" fillId="0" borderId="0" xfId="1" applyNumberFormat="1" applyFont="1" applyAlignment="1">
      <alignment horizontal="right" vertical="center"/>
    </xf>
    <xf numFmtId="0" fontId="0" fillId="0" borderId="0" xfId="1" applyFont="1" applyAlignment="1">
      <alignment horizontal="right" vertical="center"/>
    </xf>
    <xf numFmtId="0" fontId="0" fillId="0" borderId="0" xfId="1" applyFont="1" applyAlignment="1">
      <alignment horizontal="left" vertical="center"/>
    </xf>
    <xf numFmtId="1" fontId="47" fillId="0" borderId="0" xfId="0" applyNumberFormat="1" applyFont="1" applyAlignment="1">
      <alignment horizontal="center"/>
    </xf>
    <xf numFmtId="0" fontId="45" fillId="0" borderId="0" xfId="0" applyFont="1" applyAlignment="1">
      <alignment horizontal="center"/>
    </xf>
    <xf numFmtId="1" fontId="45" fillId="0" borderId="0" xfId="0" applyNumberFormat="1" applyFont="1"/>
    <xf numFmtId="0" fontId="48" fillId="0" borderId="0" xfId="0" applyFont="1"/>
    <xf numFmtId="1" fontId="47" fillId="0" borderId="8" xfId="0" applyNumberFormat="1" applyFont="1" applyBorder="1" applyAlignment="1">
      <alignment horizontal="center"/>
    </xf>
    <xf numFmtId="0" fontId="49" fillId="0" borderId="0" xfId="0" applyFont="1"/>
    <xf numFmtId="0" fontId="45" fillId="0" borderId="3" xfId="0" applyFont="1" applyBorder="1"/>
    <xf numFmtId="0" fontId="0" fillId="0" borderId="0" xfId="0" applyAlignment="1">
      <alignment horizontal="left"/>
    </xf>
    <xf numFmtId="1" fontId="47" fillId="0" borderId="9" xfId="0" applyNumberFormat="1" applyFont="1" applyBorder="1" applyAlignment="1">
      <alignment horizontal="center"/>
    </xf>
    <xf numFmtId="0" fontId="51" fillId="0" borderId="0" xfId="0" applyFont="1"/>
    <xf numFmtId="1" fontId="47" fillId="0" borderId="13" xfId="0" applyNumberFormat="1" applyFont="1" applyBorder="1" applyAlignment="1">
      <alignment horizontal="center"/>
    </xf>
    <xf numFmtId="1" fontId="51" fillId="0" borderId="0" xfId="0" applyNumberFormat="1" applyFont="1" applyAlignment="1">
      <alignment horizontal="center"/>
    </xf>
    <xf numFmtId="1" fontId="0" fillId="0" borderId="0" xfId="1" applyNumberFormat="1" applyFont="1" applyAlignment="1">
      <alignment horizontal="right" vertical="center"/>
    </xf>
    <xf numFmtId="1" fontId="47" fillId="0" borderId="2" xfId="0" applyNumberFormat="1" applyFont="1" applyBorder="1" applyAlignment="1">
      <alignment horizontal="center"/>
    </xf>
    <xf numFmtId="1" fontId="47" fillId="0" borderId="3" xfId="0" applyNumberFormat="1" applyFont="1" applyBorder="1" applyAlignment="1">
      <alignment horizontal="center"/>
    </xf>
    <xf numFmtId="2" fontId="0" fillId="0" borderId="0" xfId="0" applyNumberFormat="1" applyAlignment="1">
      <alignment horizontal="center"/>
    </xf>
    <xf numFmtId="0" fontId="53" fillId="0" borderId="0" xfId="0" applyFont="1"/>
    <xf numFmtId="0" fontId="0" fillId="0" borderId="6" xfId="0" applyBorder="1"/>
    <xf numFmtId="0" fontId="0" fillId="14" borderId="0" xfId="0" applyFill="1"/>
    <xf numFmtId="1" fontId="54" fillId="13" borderId="15" xfId="0" applyNumberFormat="1" applyFont="1" applyFill="1" applyBorder="1" applyAlignment="1">
      <alignment horizontal="center" vertical="center"/>
    </xf>
    <xf numFmtId="0" fontId="57" fillId="0" borderId="0" xfId="0" applyFont="1" applyAlignment="1">
      <alignment vertical="center"/>
    </xf>
    <xf numFmtId="0" fontId="59" fillId="0" borderId="0" xfId="0" applyFont="1" applyAlignment="1">
      <alignment vertical="center"/>
    </xf>
    <xf numFmtId="0" fontId="58" fillId="0" borderId="0" xfId="0" applyFont="1" applyAlignment="1">
      <alignment vertical="center"/>
    </xf>
    <xf numFmtId="0" fontId="57" fillId="0" borderId="0" xfId="0" applyFont="1" applyAlignment="1">
      <alignment horizontal="left" vertical="center" indent="1"/>
    </xf>
    <xf numFmtId="1" fontId="46" fillId="0" borderId="14" xfId="0" applyNumberFormat="1" applyFont="1" applyBorder="1" applyAlignment="1">
      <alignment horizontal="center"/>
    </xf>
    <xf numFmtId="1" fontId="46" fillId="0" borderId="0" xfId="0" applyNumberFormat="1" applyFont="1" applyAlignment="1">
      <alignment horizontal="center"/>
    </xf>
    <xf numFmtId="1" fontId="46" fillId="0" borderId="6" xfId="0" applyNumberFormat="1" applyFont="1" applyBorder="1" applyAlignment="1">
      <alignment horizontal="center"/>
    </xf>
    <xf numFmtId="0" fontId="0" fillId="0" borderId="0" xfId="0" applyAlignment="1">
      <alignment horizontal="left" vertical="center" indent="1"/>
    </xf>
    <xf numFmtId="0" fontId="55" fillId="0" borderId="10" xfId="0" applyFont="1" applyBorder="1" applyAlignment="1">
      <alignment horizontal="center"/>
    </xf>
    <xf numFmtId="10" fontId="0" fillId="0" borderId="0" xfId="0" applyNumberFormat="1"/>
    <xf numFmtId="2" fontId="0" fillId="0" borderId="0" xfId="0" applyNumberFormat="1"/>
    <xf numFmtId="1" fontId="0" fillId="0" borderId="0" xfId="0" applyNumberFormat="1" applyAlignment="1">
      <alignment horizontal="center"/>
    </xf>
    <xf numFmtId="0" fontId="45" fillId="0" borderId="0" xfId="0" applyFont="1" applyAlignment="1">
      <alignment horizontal="right"/>
    </xf>
    <xf numFmtId="1" fontId="45" fillId="0" borderId="0" xfId="0" applyNumberFormat="1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/>
    </xf>
    <xf numFmtId="10" fontId="45" fillId="0" borderId="0" xfId="0" applyNumberFormat="1" applyFont="1" applyAlignment="1">
      <alignment horizontal="center" vertical="center"/>
    </xf>
    <xf numFmtId="0" fontId="60" fillId="0" borderId="0" xfId="0" applyFont="1"/>
    <xf numFmtId="10" fontId="45" fillId="0" borderId="0" xfId="0" applyNumberFormat="1" applyFont="1"/>
    <xf numFmtId="0" fontId="62" fillId="0" borderId="0" xfId="0" applyFont="1"/>
    <xf numFmtId="10" fontId="63" fillId="0" borderId="0" xfId="0" applyNumberFormat="1" applyFont="1"/>
    <xf numFmtId="2" fontId="63" fillId="0" borderId="0" xfId="0" applyNumberFormat="1" applyFont="1"/>
    <xf numFmtId="0" fontId="64" fillId="0" borderId="0" xfId="0" applyFont="1"/>
    <xf numFmtId="9" fontId="55" fillId="0" borderId="0" xfId="0" applyNumberFormat="1" applyFont="1" applyAlignment="1">
      <alignment horizontal="center"/>
    </xf>
    <xf numFmtId="1" fontId="64" fillId="0" borderId="9" xfId="0" applyNumberFormat="1" applyFont="1" applyBorder="1"/>
    <xf numFmtId="0" fontId="47" fillId="0" borderId="5" xfId="0" applyFont="1" applyBorder="1"/>
    <xf numFmtId="0" fontId="60" fillId="0" borderId="15" xfId="0" applyFont="1" applyBorder="1"/>
    <xf numFmtId="10" fontId="45" fillId="0" borderId="0" xfId="0" applyNumberFormat="1" applyFont="1" applyAlignment="1">
      <alignment horizontal="center"/>
    </xf>
    <xf numFmtId="0" fontId="45" fillId="0" borderId="14" xfId="0" applyFont="1" applyBorder="1"/>
    <xf numFmtId="0" fontId="0" fillId="0" borderId="10" xfId="0" applyBorder="1"/>
    <xf numFmtId="1" fontId="0" fillId="0" borderId="8" xfId="0" applyNumberFormat="1" applyBorder="1"/>
    <xf numFmtId="1" fontId="65" fillId="0" borderId="0" xfId="0" applyNumberFormat="1" applyFont="1"/>
    <xf numFmtId="10" fontId="0" fillId="0" borderId="11" xfId="0" applyNumberFormat="1" applyBorder="1"/>
    <xf numFmtId="0" fontId="55" fillId="0" borderId="0" xfId="0" applyFont="1" applyAlignment="1">
      <alignment horizontal="center"/>
    </xf>
    <xf numFmtId="1" fontId="65" fillId="0" borderId="14" xfId="0" applyNumberFormat="1" applyFont="1" applyBorder="1"/>
    <xf numFmtId="9" fontId="45" fillId="0" borderId="0" xfId="0" applyNumberFormat="1" applyFont="1"/>
    <xf numFmtId="1" fontId="55" fillId="0" borderId="0" xfId="0" applyNumberFormat="1" applyFont="1" applyAlignment="1">
      <alignment horizontal="right"/>
    </xf>
    <xf numFmtId="0" fontId="48" fillId="0" borderId="0" xfId="0" applyFont="1" applyAlignment="1">
      <alignment horizontal="center"/>
    </xf>
    <xf numFmtId="1" fontId="55" fillId="0" borderId="0" xfId="0" applyNumberFormat="1" applyFont="1" applyAlignment="1">
      <alignment horizontal="center"/>
    </xf>
    <xf numFmtId="0" fontId="55" fillId="4" borderId="0" xfId="0" applyFont="1" applyFill="1" applyAlignment="1">
      <alignment horizontal="right"/>
    </xf>
    <xf numFmtId="0" fontId="55" fillId="0" borderId="0" xfId="0" applyFont="1" applyAlignment="1">
      <alignment horizontal="right"/>
    </xf>
    <xf numFmtId="1" fontId="0" fillId="0" borderId="6" xfId="0" applyNumberFormat="1" applyBorder="1" applyAlignment="1">
      <alignment horizontal="center"/>
    </xf>
    <xf numFmtId="1" fontId="0" fillId="0" borderId="6" xfId="0" applyNumberFormat="1" applyBorder="1"/>
    <xf numFmtId="1" fontId="45" fillId="0" borderId="0" xfId="0" applyNumberFormat="1" applyFont="1" applyAlignment="1">
      <alignment horizontal="center"/>
    </xf>
    <xf numFmtId="10" fontId="45" fillId="0" borderId="0" xfId="0" applyNumberFormat="1" applyFont="1" applyAlignment="1">
      <alignment horizontal="right"/>
    </xf>
    <xf numFmtId="0" fontId="48" fillId="0" borderId="0" xfId="0" applyFont="1" applyAlignment="1">
      <alignment horizontal="center" vertical="center"/>
    </xf>
    <xf numFmtId="1" fontId="68" fillId="0" borderId="0" xfId="0" applyNumberFormat="1" applyFont="1" applyAlignment="1">
      <alignment horizontal="center"/>
    </xf>
    <xf numFmtId="1" fontId="45" fillId="0" borderId="0" xfId="0" applyNumberFormat="1" applyFont="1" applyAlignment="1">
      <alignment horizontal="left"/>
    </xf>
    <xf numFmtId="1" fontId="47" fillId="0" borderId="0" xfId="0" applyNumberFormat="1" applyFont="1" applyAlignment="1">
      <alignment horizontal="left"/>
    </xf>
    <xf numFmtId="0" fontId="55" fillId="0" borderId="11" xfId="0" applyFont="1" applyBorder="1" applyAlignment="1">
      <alignment horizontal="right" vertical="center"/>
    </xf>
    <xf numFmtId="1" fontId="45" fillId="0" borderId="1" xfId="0" applyNumberFormat="1" applyFont="1" applyBorder="1" applyAlignment="1">
      <alignment horizontal="right"/>
    </xf>
    <xf numFmtId="1" fontId="47" fillId="13" borderId="12" xfId="0" applyNumberFormat="1" applyFont="1" applyFill="1" applyBorder="1" applyAlignment="1">
      <alignment horizontal="center"/>
    </xf>
    <xf numFmtId="0" fontId="63" fillId="12" borderId="12" xfId="0" applyFont="1" applyFill="1" applyBorder="1" applyAlignment="1">
      <alignment horizontal="center"/>
    </xf>
    <xf numFmtId="0" fontId="45" fillId="0" borderId="10" xfId="0" applyFont="1" applyBorder="1" applyAlignment="1">
      <alignment horizontal="center"/>
    </xf>
    <xf numFmtId="0" fontId="48" fillId="5" borderId="18" xfId="0" applyFont="1" applyFill="1" applyBorder="1" applyAlignment="1">
      <alignment horizontal="center"/>
    </xf>
    <xf numFmtId="0" fontId="48" fillId="5" borderId="17" xfId="0" applyFont="1" applyFill="1" applyBorder="1" applyAlignment="1">
      <alignment horizontal="center"/>
    </xf>
    <xf numFmtId="0" fontId="55" fillId="0" borderId="4" xfId="0" applyFont="1" applyBorder="1" applyAlignment="1">
      <alignment horizontal="right"/>
    </xf>
    <xf numFmtId="0" fontId="45" fillId="0" borderId="14" xfId="0" applyFont="1" applyBorder="1" applyAlignment="1">
      <alignment horizontal="center"/>
    </xf>
    <xf numFmtId="165" fontId="69" fillId="0" borderId="14" xfId="0" applyNumberFormat="1" applyFont="1" applyBorder="1"/>
    <xf numFmtId="0" fontId="48" fillId="0" borderId="7" xfId="0" applyFont="1" applyBorder="1"/>
    <xf numFmtId="1" fontId="48" fillId="4" borderId="12" xfId="0" applyNumberFormat="1" applyFont="1" applyFill="1" applyBorder="1" applyAlignment="1">
      <alignment horizontal="center"/>
    </xf>
    <xf numFmtId="10" fontId="70" fillId="0" borderId="0" xfId="0" applyNumberFormat="1" applyFont="1" applyAlignment="1">
      <alignment horizontal="left"/>
    </xf>
    <xf numFmtId="0" fontId="0" fillId="0" borderId="9" xfId="0" applyBorder="1"/>
    <xf numFmtId="0" fontId="0" fillId="0" borderId="5" xfId="0" applyBorder="1"/>
    <xf numFmtId="1" fontId="48" fillId="0" borderId="0" xfId="0" applyNumberFormat="1" applyFont="1"/>
    <xf numFmtId="10" fontId="61" fillId="0" borderId="0" xfId="2" applyNumberFormat="1" applyFont="1"/>
    <xf numFmtId="0" fontId="71" fillId="0" borderId="0" xfId="0" applyFont="1" applyAlignment="1">
      <alignment horizontal="left"/>
    </xf>
    <xf numFmtId="1" fontId="48" fillId="8" borderId="0" xfId="0" applyNumberFormat="1" applyFont="1" applyFill="1"/>
    <xf numFmtId="0" fontId="48" fillId="8" borderId="0" xfId="0" applyFont="1" applyFill="1"/>
    <xf numFmtId="0" fontId="72" fillId="6" borderId="0" xfId="0" applyFont="1" applyFill="1" applyAlignment="1">
      <alignment horizontal="center" vertical="center"/>
    </xf>
    <xf numFmtId="0" fontId="61" fillId="0" borderId="0" xfId="2" applyFont="1"/>
    <xf numFmtId="1" fontId="54" fillId="6" borderId="8" xfId="0" applyNumberFormat="1" applyFont="1" applyFill="1" applyBorder="1" applyAlignment="1">
      <alignment horizontal="center"/>
    </xf>
    <xf numFmtId="1" fontId="54" fillId="6" borderId="0" xfId="0" applyNumberFormat="1" applyFont="1" applyFill="1" applyAlignment="1">
      <alignment horizontal="center"/>
    </xf>
    <xf numFmtId="1" fontId="72" fillId="6" borderId="0" xfId="0" applyNumberFormat="1" applyFont="1" applyFill="1" applyAlignment="1">
      <alignment horizontal="center"/>
    </xf>
    <xf numFmtId="0" fontId="48" fillId="14" borderId="0" xfId="0" applyFont="1" applyFill="1"/>
    <xf numFmtId="0" fontId="0" fillId="0" borderId="8" xfId="0" applyBorder="1"/>
    <xf numFmtId="0" fontId="0" fillId="0" borderId="13" xfId="0" applyBorder="1"/>
    <xf numFmtId="0" fontId="73" fillId="0" borderId="0" xfId="0" applyFont="1"/>
    <xf numFmtId="10" fontId="74" fillId="2" borderId="0" xfId="0" applyNumberFormat="1" applyFont="1" applyFill="1"/>
    <xf numFmtId="1" fontId="54" fillId="0" borderId="8" xfId="0" applyNumberFormat="1" applyFont="1" applyBorder="1" applyAlignment="1">
      <alignment horizontal="center"/>
    </xf>
    <xf numFmtId="1" fontId="54" fillId="0" borderId="0" xfId="0" applyNumberFormat="1" applyFont="1" applyAlignment="1">
      <alignment horizontal="center"/>
    </xf>
    <xf numFmtId="1" fontId="72" fillId="0" borderId="0" xfId="0" applyNumberFormat="1" applyFont="1" applyAlignment="1">
      <alignment horizontal="center"/>
    </xf>
    <xf numFmtId="1" fontId="54" fillId="13" borderId="11" xfId="0" applyNumberFormat="1" applyFont="1" applyFill="1" applyBorder="1" applyAlignment="1">
      <alignment horizontal="center"/>
    </xf>
    <xf numFmtId="1" fontId="72" fillId="0" borderId="9" xfId="0" applyNumberFormat="1" applyFont="1" applyBorder="1" applyAlignment="1">
      <alignment horizontal="center"/>
    </xf>
    <xf numFmtId="1" fontId="72" fillId="0" borderId="6" xfId="0" applyNumberFormat="1" applyFont="1" applyBorder="1" applyAlignment="1">
      <alignment horizontal="center"/>
    </xf>
    <xf numFmtId="10" fontId="74" fillId="3" borderId="0" xfId="0" applyNumberFormat="1" applyFont="1" applyFill="1"/>
    <xf numFmtId="1" fontId="75" fillId="0" borderId="14" xfId="0" applyNumberFormat="1" applyFont="1" applyBorder="1" applyAlignment="1">
      <alignment horizontal="center"/>
    </xf>
    <xf numFmtId="1" fontId="72" fillId="0" borderId="14" xfId="0" applyNumberFormat="1" applyFont="1" applyBorder="1" applyAlignment="1">
      <alignment horizontal="center"/>
    </xf>
    <xf numFmtId="1" fontId="54" fillId="13" borderId="10" xfId="0" applyNumberFormat="1" applyFont="1" applyFill="1" applyBorder="1" applyAlignment="1">
      <alignment horizontal="center" vertical="center"/>
    </xf>
    <xf numFmtId="10" fontId="63" fillId="2" borderId="0" xfId="0" applyNumberFormat="1" applyFont="1" applyFill="1" applyAlignment="1">
      <alignment horizontal="center"/>
    </xf>
    <xf numFmtId="1" fontId="76" fillId="0" borderId="0" xfId="0" applyNumberFormat="1" applyFont="1" applyAlignment="1">
      <alignment horizontal="center"/>
    </xf>
    <xf numFmtId="1" fontId="76" fillId="0" borderId="22" xfId="0" applyNumberFormat="1" applyFont="1" applyBorder="1" applyAlignment="1">
      <alignment horizontal="center"/>
    </xf>
    <xf numFmtId="0" fontId="76" fillId="0" borderId="18" xfId="0" applyFont="1" applyBorder="1" applyAlignment="1">
      <alignment horizontal="center"/>
    </xf>
    <xf numFmtId="0" fontId="76" fillId="0" borderId="17" xfId="0" applyFont="1" applyBorder="1" applyAlignment="1">
      <alignment horizontal="center"/>
    </xf>
    <xf numFmtId="0" fontId="76" fillId="0" borderId="13" xfId="0" applyFont="1" applyBorder="1" applyAlignment="1">
      <alignment horizontal="center"/>
    </xf>
    <xf numFmtId="0" fontId="76" fillId="0" borderId="14" xfId="0" applyFont="1" applyBorder="1" applyAlignment="1">
      <alignment horizontal="center"/>
    </xf>
    <xf numFmtId="0" fontId="76" fillId="0" borderId="7" xfId="0" applyFont="1" applyBorder="1" applyAlignment="1">
      <alignment horizontal="center"/>
    </xf>
    <xf numFmtId="0" fontId="55" fillId="0" borderId="7" xfId="0" applyFont="1" applyBorder="1" applyAlignment="1">
      <alignment horizontal="center"/>
    </xf>
    <xf numFmtId="0" fontId="76" fillId="0" borderId="13" xfId="0" applyFont="1" applyBorder="1" applyAlignment="1">
      <alignment horizontal="center" vertical="center"/>
    </xf>
    <xf numFmtId="0" fontId="76" fillId="0" borderId="14" xfId="0" applyFont="1" applyBorder="1" applyAlignment="1">
      <alignment horizontal="center" vertical="center"/>
    </xf>
    <xf numFmtId="0" fontId="76" fillId="0" borderId="7" xfId="0" applyFont="1" applyBorder="1" applyAlignment="1">
      <alignment horizontal="center" vertical="center"/>
    </xf>
    <xf numFmtId="0" fontId="76" fillId="0" borderId="10" xfId="0" applyFont="1" applyBorder="1" applyAlignment="1">
      <alignment horizontal="center" vertical="center"/>
    </xf>
    <xf numFmtId="0" fontId="76" fillId="0" borderId="7" xfId="0" applyFont="1" applyBorder="1"/>
    <xf numFmtId="1" fontId="49" fillId="0" borderId="0" xfId="0" applyNumberFormat="1" applyFont="1" applyAlignment="1">
      <alignment horizontal="center"/>
    </xf>
    <xf numFmtId="0" fontId="49" fillId="0" borderId="0" xfId="0" applyFont="1" applyAlignment="1">
      <alignment horizontal="center"/>
    </xf>
    <xf numFmtId="0" fontId="49" fillId="0" borderId="0" xfId="0" applyFont="1" applyAlignment="1">
      <alignment horizontal="right"/>
    </xf>
    <xf numFmtId="1" fontId="49" fillId="0" borderId="0" xfId="0" applyNumberFormat="1" applyFont="1" applyAlignment="1">
      <alignment horizontal="center" vertical="center"/>
    </xf>
    <xf numFmtId="0" fontId="49" fillId="0" borderId="0" xfId="0" applyFont="1" applyAlignment="1">
      <alignment horizontal="center" vertical="center"/>
    </xf>
    <xf numFmtId="0" fontId="45" fillId="0" borderId="2" xfId="0" applyFont="1" applyBorder="1" applyAlignment="1">
      <alignment horizontal="center"/>
    </xf>
    <xf numFmtId="0" fontId="45" fillId="0" borderId="2" xfId="0" applyFont="1" applyBorder="1" applyAlignment="1">
      <alignment horizontal="right"/>
    </xf>
    <xf numFmtId="1" fontId="45" fillId="0" borderId="2" xfId="0" applyNumberFormat="1" applyFont="1" applyBorder="1" applyAlignment="1">
      <alignment horizontal="center" vertical="center"/>
    </xf>
    <xf numFmtId="0" fontId="45" fillId="0" borderId="2" xfId="0" applyFont="1" applyBorder="1" applyAlignment="1">
      <alignment horizontal="center" vertical="center"/>
    </xf>
    <xf numFmtId="0" fontId="0" fillId="0" borderId="2" xfId="0" applyBorder="1"/>
    <xf numFmtId="0" fontId="45" fillId="0" borderId="1" xfId="0" applyFont="1" applyBorder="1"/>
    <xf numFmtId="0" fontId="0" fillId="0" borderId="0" xfId="0" pivotButton="1" applyAlignment="1">
      <alignment horizontal="center"/>
    </xf>
    <xf numFmtId="0" fontId="0" fillId="0" borderId="0" xfId="0" pivotButton="1"/>
    <xf numFmtId="1" fontId="77" fillId="0" borderId="2" xfId="0" applyNumberFormat="1" applyFont="1" applyBorder="1" applyAlignment="1">
      <alignment horizontal="center"/>
    </xf>
    <xf numFmtId="1" fontId="52" fillId="0" borderId="14" xfId="0" applyNumberFormat="1" applyFont="1" applyBorder="1" applyAlignment="1">
      <alignment horizontal="center"/>
    </xf>
    <xf numFmtId="0" fontId="37" fillId="0" borderId="0" xfId="2"/>
    <xf numFmtId="1" fontId="78" fillId="0" borderId="13" xfId="0" applyNumberFormat="1" applyFont="1" applyBorder="1" applyAlignment="1">
      <alignment horizontal="center"/>
    </xf>
    <xf numFmtId="1" fontId="78" fillId="0" borderId="9" xfId="0" applyNumberFormat="1" applyFont="1" applyBorder="1" applyAlignment="1">
      <alignment horizontal="center"/>
    </xf>
    <xf numFmtId="1" fontId="78" fillId="0" borderId="8" xfId="0" applyNumberFormat="1" applyFont="1" applyBorder="1" applyAlignment="1">
      <alignment horizontal="center"/>
    </xf>
    <xf numFmtId="1" fontId="53" fillId="0" borderId="0" xfId="0" applyNumberFormat="1" applyFont="1"/>
    <xf numFmtId="1" fontId="72" fillId="0" borderId="0" xfId="0" applyNumberFormat="1" applyFont="1" applyAlignment="1">
      <alignment horizontal="center" wrapText="1"/>
    </xf>
    <xf numFmtId="1" fontId="72" fillId="0" borderId="13" xfId="0" applyNumberFormat="1" applyFont="1" applyBorder="1" applyAlignment="1">
      <alignment horizontal="center"/>
    </xf>
    <xf numFmtId="1" fontId="72" fillId="0" borderId="8" xfId="0" applyNumberFormat="1" applyFont="1" applyBorder="1" applyAlignment="1">
      <alignment horizontal="center"/>
    </xf>
    <xf numFmtId="1" fontId="72" fillId="6" borderId="8" xfId="0" applyNumberFormat="1" applyFont="1" applyFill="1" applyBorder="1" applyAlignment="1">
      <alignment horizontal="center"/>
    </xf>
    <xf numFmtId="2" fontId="49" fillId="0" borderId="0" xfId="0" applyNumberFormat="1" applyFont="1" applyAlignment="1">
      <alignment horizontal="center"/>
    </xf>
    <xf numFmtId="2" fontId="68" fillId="0" borderId="0" xfId="0" applyNumberFormat="1" applyFont="1" applyAlignment="1">
      <alignment horizontal="center"/>
    </xf>
    <xf numFmtId="2" fontId="33" fillId="0" borderId="0" xfId="0" applyNumberFormat="1" applyFont="1" applyAlignment="1">
      <alignment horizontal="center"/>
    </xf>
    <xf numFmtId="0" fontId="80" fillId="11" borderId="24" xfId="0" applyFont="1" applyFill="1" applyBorder="1" applyAlignment="1">
      <alignment horizontal="left" vertical="center" wrapText="1"/>
    </xf>
    <xf numFmtId="0" fontId="80" fillId="11" borderId="25" xfId="0" applyFont="1" applyFill="1" applyBorder="1" applyAlignment="1">
      <alignment horizontal="left" vertical="center" wrapText="1"/>
    </xf>
    <xf numFmtId="0" fontId="81" fillId="15" borderId="0" xfId="0" applyFont="1" applyFill="1" applyAlignment="1">
      <alignment horizontal="left" vertical="center" wrapText="1"/>
    </xf>
    <xf numFmtId="1" fontId="33" fillId="0" borderId="0" xfId="0" applyNumberFormat="1" applyFont="1" applyAlignment="1">
      <alignment horizontal="center"/>
    </xf>
    <xf numFmtId="0" fontId="79" fillId="16" borderId="23" xfId="0" applyFont="1" applyFill="1" applyBorder="1" applyAlignment="1">
      <alignment vertical="center"/>
    </xf>
    <xf numFmtId="0" fontId="72" fillId="0" borderId="0" xfId="0" applyFont="1" applyAlignment="1">
      <alignment horizontal="center" vertical="center"/>
    </xf>
    <xf numFmtId="0" fontId="54" fillId="0" borderId="0" xfId="0" applyFont="1" applyAlignment="1">
      <alignment horizontal="center" vertical="center"/>
    </xf>
    <xf numFmtId="10" fontId="0" fillId="0" borderId="0" xfId="0" applyNumberFormat="1" applyAlignment="1">
      <alignment horizontal="center"/>
    </xf>
    <xf numFmtId="10" fontId="49" fillId="0" borderId="0" xfId="0" applyNumberFormat="1" applyFont="1" applyAlignment="1">
      <alignment horizontal="center"/>
    </xf>
    <xf numFmtId="10" fontId="76" fillId="0" borderId="0" xfId="0" applyNumberFormat="1" applyFont="1" applyAlignment="1">
      <alignment horizontal="center"/>
    </xf>
    <xf numFmtId="0" fontId="38" fillId="6" borderId="0" xfId="0" applyFont="1" applyFill="1" applyAlignment="1">
      <alignment horizontal="center" vertical="center"/>
    </xf>
    <xf numFmtId="1" fontId="38" fillId="6" borderId="0" xfId="0" applyNumberFormat="1" applyFont="1" applyFill="1" applyAlignment="1">
      <alignment horizontal="center"/>
    </xf>
    <xf numFmtId="1" fontId="41" fillId="6" borderId="8" xfId="0" applyNumberFormat="1" applyFont="1" applyFill="1" applyBorder="1" applyAlignment="1">
      <alignment horizontal="center"/>
    </xf>
    <xf numFmtId="1" fontId="75" fillId="0" borderId="6" xfId="0" applyNumberFormat="1" applyFont="1" applyBorder="1" applyAlignment="1">
      <alignment horizontal="center"/>
    </xf>
    <xf numFmtId="0" fontId="50" fillId="10" borderId="10" xfId="0" applyFont="1" applyFill="1" applyBorder="1" applyAlignment="1">
      <alignment horizontal="center"/>
    </xf>
    <xf numFmtId="0" fontId="50" fillId="10" borderId="15" xfId="0" applyFont="1" applyFill="1" applyBorder="1" applyAlignment="1">
      <alignment horizontal="center"/>
    </xf>
    <xf numFmtId="0" fontId="50" fillId="10" borderId="11" xfId="0" applyFont="1" applyFill="1" applyBorder="1" applyAlignment="1">
      <alignment horizontal="center"/>
    </xf>
    <xf numFmtId="0" fontId="50" fillId="10" borderId="16" xfId="0" applyFont="1" applyFill="1" applyBorder="1" applyAlignment="1">
      <alignment horizontal="center"/>
    </xf>
    <xf numFmtId="0" fontId="35" fillId="0" borderId="0" xfId="0" pivotButton="1" applyFont="1" applyAlignment="1">
      <alignment horizontal="center"/>
    </xf>
    <xf numFmtId="0" fontId="35" fillId="0" borderId="0" xfId="0" applyFont="1" applyAlignment="1">
      <alignment horizontal="center"/>
    </xf>
    <xf numFmtId="0" fontId="35" fillId="0" borderId="0" xfId="0" pivotButton="1" applyFont="1"/>
    <xf numFmtId="0" fontId="35" fillId="0" borderId="12" xfId="0" pivotButton="1" applyFont="1" applyBorder="1"/>
    <xf numFmtId="0" fontId="82" fillId="9" borderId="12" xfId="0" applyFont="1" applyFill="1" applyBorder="1"/>
    <xf numFmtId="0" fontId="41" fillId="0" borderId="10" xfId="0" applyFont="1" applyBorder="1"/>
    <xf numFmtId="0" fontId="41" fillId="0" borderId="11" xfId="0" applyFont="1" applyBorder="1"/>
    <xf numFmtId="0" fontId="41" fillId="0" borderId="15" xfId="0" applyFont="1" applyBorder="1"/>
    <xf numFmtId="0" fontId="50" fillId="0" borderId="10" xfId="0" applyFont="1" applyBorder="1" applyAlignment="1">
      <alignment horizontal="center"/>
    </xf>
    <xf numFmtId="0" fontId="50" fillId="0" borderId="11" xfId="0" applyFont="1" applyBorder="1" applyAlignment="1">
      <alignment horizontal="center"/>
    </xf>
    <xf numFmtId="0" fontId="50" fillId="0" borderId="16" xfId="0" applyFont="1" applyBorder="1" applyAlignment="1">
      <alignment horizontal="center"/>
    </xf>
    <xf numFmtId="0" fontId="34" fillId="0" borderId="12" xfId="0" applyFont="1" applyBorder="1" applyAlignment="1">
      <alignment horizontal="center"/>
    </xf>
    <xf numFmtId="0" fontId="66" fillId="0" borderId="15" xfId="0" applyFont="1" applyBorder="1" applyAlignment="1">
      <alignment horizontal="center" vertical="center"/>
    </xf>
    <xf numFmtId="0" fontId="67" fillId="7" borderId="17" xfId="0" applyFont="1" applyFill="1" applyBorder="1" applyAlignment="1">
      <alignment horizontal="center" vertical="center"/>
    </xf>
    <xf numFmtId="0" fontId="67" fillId="7" borderId="19" xfId="0" applyFont="1" applyFill="1" applyBorder="1" applyAlignment="1">
      <alignment horizontal="center" vertical="center"/>
    </xf>
    <xf numFmtId="0" fontId="67" fillId="7" borderId="18" xfId="0" applyFont="1" applyFill="1" applyBorder="1" applyAlignment="1">
      <alignment horizontal="center" vertical="center"/>
    </xf>
    <xf numFmtId="0" fontId="67" fillId="7" borderId="20" xfId="0" applyFont="1" applyFill="1" applyBorder="1" applyAlignment="1">
      <alignment horizontal="center" vertical="center"/>
    </xf>
    <xf numFmtId="0" fontId="67" fillId="7" borderId="22" xfId="0" applyFont="1" applyFill="1" applyBorder="1" applyAlignment="1">
      <alignment horizontal="center" vertical="center"/>
    </xf>
    <xf numFmtId="0" fontId="67" fillId="7" borderId="21" xfId="0" applyFont="1" applyFill="1" applyBorder="1" applyAlignment="1">
      <alignment horizontal="center" vertical="center"/>
    </xf>
    <xf numFmtId="0" fontId="57" fillId="0" borderId="0" xfId="3" applyFont="1" applyAlignment="1">
      <alignment vertical="center"/>
    </xf>
    <xf numFmtId="0" fontId="33" fillId="0" borderId="0" xfId="3"/>
    <xf numFmtId="0" fontId="59" fillId="0" borderId="0" xfId="3" applyFont="1" applyAlignment="1">
      <alignment vertical="center"/>
    </xf>
    <xf numFmtId="1" fontId="83" fillId="0" borderId="0" xfId="3" applyNumberFormat="1" applyFont="1" applyAlignment="1">
      <alignment vertical="center"/>
    </xf>
    <xf numFmtId="0" fontId="58" fillId="0" borderId="0" xfId="3" applyFont="1" applyAlignment="1">
      <alignment vertical="center"/>
    </xf>
    <xf numFmtId="0" fontId="33" fillId="0" borderId="0" xfId="3" applyAlignment="1">
      <alignment horizontal="left" vertical="center" indent="1"/>
    </xf>
    <xf numFmtId="0" fontId="57" fillId="0" borderId="0" xfId="3" applyFont="1" applyAlignment="1">
      <alignment horizontal="left" vertical="center" indent="1"/>
    </xf>
    <xf numFmtId="0" fontId="84" fillId="0" borderId="0" xfId="3" applyFont="1" applyAlignment="1">
      <alignment horizontal="left" vertical="center" indent="1"/>
    </xf>
    <xf numFmtId="0" fontId="57" fillId="0" borderId="0" xfId="3" applyFont="1" applyAlignment="1">
      <alignment horizontal="left" vertical="center" indent="2"/>
    </xf>
    <xf numFmtId="0" fontId="58" fillId="0" borderId="0" xfId="3" applyFont="1" applyAlignment="1">
      <alignment horizontal="left" vertical="center" indent="1"/>
    </xf>
    <xf numFmtId="10" fontId="33" fillId="0" borderId="0" xfId="3" applyNumberFormat="1"/>
    <xf numFmtId="0" fontId="79" fillId="17" borderId="26" xfId="3" applyFont="1" applyFill="1" applyBorder="1" applyAlignment="1">
      <alignment vertical="center"/>
    </xf>
    <xf numFmtId="0" fontId="80" fillId="11" borderId="24" xfId="3" applyFont="1" applyFill="1" applyBorder="1" applyAlignment="1">
      <alignment horizontal="left" vertical="center" wrapText="1"/>
    </xf>
    <xf numFmtId="0" fontId="80" fillId="11" borderId="0" xfId="3" applyFont="1" applyFill="1" applyAlignment="1">
      <alignment horizontal="left" vertical="center" wrapText="1"/>
    </xf>
    <xf numFmtId="0" fontId="80" fillId="18" borderId="26" xfId="3" applyFont="1" applyFill="1" applyBorder="1" applyAlignment="1">
      <alignment horizontal="center" vertical="center" wrapText="1"/>
    </xf>
    <xf numFmtId="0" fontId="86" fillId="19" borderId="26" xfId="3" applyFont="1" applyFill="1" applyBorder="1" applyAlignment="1">
      <alignment horizontal="center" vertical="center" wrapText="1"/>
    </xf>
    <xf numFmtId="0" fontId="86" fillId="18" borderId="26" xfId="3" applyFont="1" applyFill="1" applyBorder="1" applyAlignment="1">
      <alignment horizontal="center" vertical="center" wrapText="1"/>
    </xf>
    <xf numFmtId="0" fontId="80" fillId="11" borderId="25" xfId="3" applyFont="1" applyFill="1" applyBorder="1" applyAlignment="1">
      <alignment horizontal="left" vertical="center" wrapText="1"/>
    </xf>
    <xf numFmtId="0" fontId="80" fillId="11" borderId="27" xfId="3" applyFont="1" applyFill="1" applyBorder="1" applyAlignment="1">
      <alignment horizontal="left" vertical="center" wrapText="1"/>
    </xf>
  </cellXfs>
  <cellStyles count="49">
    <cellStyle name="Hipervínculo" xfId="2" builtinId="8"/>
    <cellStyle name="Hipervínculo 2" xfId="21" xr:uid="{401849B9-2AE7-4F15-8166-85F70E697250}"/>
    <cellStyle name="Hipervínculo 3" xfId="27" xr:uid="{7243BE2C-2493-4835-AB8C-82901A7F27F1}"/>
    <cellStyle name="Hipervínculo 4" xfId="32" xr:uid="{AD498D52-1C81-456F-9D9F-353B89D2855B}"/>
    <cellStyle name="Moneda 2" xfId="8" xr:uid="{00000000-0005-0000-0000-000002000000}"/>
    <cellStyle name="Moneda 3" xfId="10" xr:uid="{00000000-0005-0000-0000-000003000000}"/>
    <cellStyle name="Moneda 4" xfId="12" xr:uid="{00000000-0005-0000-0000-000004000000}"/>
    <cellStyle name="Moneda 5" xfId="14" xr:uid="{00000000-0005-0000-0000-000005000000}"/>
    <cellStyle name="Moneda 6" xfId="16" xr:uid="{00000000-0005-0000-0000-00003F000000}"/>
    <cellStyle name="Moneda 7" xfId="18" xr:uid="{00000000-0005-0000-0000-000041000000}"/>
    <cellStyle name="NivelFila_4" xfId="1" builtinId="1" iLevel="3"/>
    <cellStyle name="Normal" xfId="0" builtinId="0"/>
    <cellStyle name="Normal 10" xfId="15" xr:uid="{00000000-0005-0000-0000-000040000000}"/>
    <cellStyle name="Normal 11" xfId="17" xr:uid="{00000000-0005-0000-0000-000042000000}"/>
    <cellStyle name="Normal 12" xfId="20" xr:uid="{D5CF745F-3F1E-47E8-B66A-FCD1CD072198}"/>
    <cellStyle name="Normal 13" xfId="22" xr:uid="{F7582630-B880-4C2C-B570-33D786A9D680}"/>
    <cellStyle name="Normal 14" xfId="23" xr:uid="{AC6F4484-397D-4211-BAEB-A5A6AE0415D2}"/>
    <cellStyle name="Normal 15" xfId="24" xr:uid="{C459518E-881E-4D33-AA3F-4EAC7C327CA4}"/>
    <cellStyle name="Normal 16" xfId="25" xr:uid="{3BAFC1B7-48D6-40E6-846D-E8D72398326E}"/>
    <cellStyle name="Normal 17" xfId="26" xr:uid="{0525B2E2-EE1E-492F-A6EB-17B19464D9A8}"/>
    <cellStyle name="Normal 18" xfId="28" xr:uid="{C761D006-CC1A-4CF3-8B49-E186B34F6F14}"/>
    <cellStyle name="Normal 19" xfId="29" xr:uid="{5679C303-D2CC-496E-AD18-5FAB57289CD1}"/>
    <cellStyle name="Normal 2" xfId="3" xr:uid="{00000000-0005-0000-0000-000009000000}"/>
    <cellStyle name="Normal 2 2" xfId="19" xr:uid="{E2D620EA-9A71-45FD-A641-1EFCD31BFE7A}"/>
    <cellStyle name="Normal 20" xfId="30" xr:uid="{C8157B98-D8A1-4006-87C1-891800FEC040}"/>
    <cellStyle name="Normal 21" xfId="31" xr:uid="{642F8E2F-742B-40EA-A9DF-4D93C47CF00E}"/>
    <cellStyle name="Normal 22" xfId="33" xr:uid="{CA8B8DCA-EBB9-4DF6-AD43-59142252F082}"/>
    <cellStyle name="Normal 23" xfId="34" xr:uid="{EC8391D6-3006-4407-9EE4-D9321639C5AA}"/>
    <cellStyle name="Normal 24" xfId="35" xr:uid="{5C2431BC-30A2-4EE5-B278-EC7E8A2F3BA9}"/>
    <cellStyle name="Normal 25" xfId="36" xr:uid="{C1C0F88D-2BE6-431E-8627-D0267E9DC1FB}"/>
    <cellStyle name="Normal 26" xfId="37" xr:uid="{6AC9CEF2-82A7-49F4-84EB-9E60B71738DD}"/>
    <cellStyle name="Normal 27" xfId="38" xr:uid="{EC2AB8A6-FEBB-4F79-9D7A-1A1D19D1EFD1}"/>
    <cellStyle name="Normal 28" xfId="39" xr:uid="{5C60DAD5-AAC4-4A23-8544-A38FD482ADA0}"/>
    <cellStyle name="Normal 29" xfId="40" xr:uid="{1E0D1A98-522F-40F5-89A5-44335CE9BD78}"/>
    <cellStyle name="Normal 3" xfId="4" xr:uid="{00000000-0005-0000-0000-00000A000000}"/>
    <cellStyle name="Normal 30" xfId="41" xr:uid="{FE0623F8-366F-4702-A291-F293617CDFA2}"/>
    <cellStyle name="Normal 31" xfId="42" xr:uid="{3E295B5E-E984-492D-B7C2-E6634C5D5766}"/>
    <cellStyle name="Normal 32" xfId="43" xr:uid="{08B58609-8BBB-4C81-95F4-1DCB42074970}"/>
    <cellStyle name="Normal 33" xfId="44" xr:uid="{4B7FD272-AC58-4AA2-8933-01DCC6A5FA2D}"/>
    <cellStyle name="Normal 34" xfId="45" xr:uid="{73D93E97-7903-4397-BC5D-34FB722590C3}"/>
    <cellStyle name="Normal 35" xfId="46" xr:uid="{C2F064BE-5797-44F7-AB9A-365F2130D186}"/>
    <cellStyle name="Normal 36" xfId="47" xr:uid="{E3666633-AC13-4B7B-A309-D0DF1B6B653E}"/>
    <cellStyle name="Normal 37" xfId="48" xr:uid="{15C54BB3-DE8D-45F7-9073-7DF14F9E3A33}"/>
    <cellStyle name="Normal 4" xfId="5" xr:uid="{00000000-0005-0000-0000-00000B000000}"/>
    <cellStyle name="Normal 5" xfId="6" xr:uid="{00000000-0005-0000-0000-00000C000000}"/>
    <cellStyle name="Normal 6" xfId="7" xr:uid="{00000000-0005-0000-0000-00000D000000}"/>
    <cellStyle name="Normal 7" xfId="9" xr:uid="{00000000-0005-0000-0000-00000E000000}"/>
    <cellStyle name="Normal 8" xfId="11" xr:uid="{00000000-0005-0000-0000-00000F000000}"/>
    <cellStyle name="Normal 9" xfId="13" xr:uid="{00000000-0005-0000-0000-000010000000}"/>
  </cellStyles>
  <dxfs count="52"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top style="medium">
          <color indexed="64"/>
        </top>
        <bottom style="medium">
          <color indexed="64"/>
        </bottom>
      </border>
    </dxf>
    <dxf>
      <alignment horizontal="center"/>
    </dxf>
    <dxf>
      <alignment horizontal="center"/>
    </dxf>
    <dxf>
      <border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bottom style="medium">
          <color indexed="64"/>
        </bottom>
      </border>
    </dxf>
    <dxf>
      <border>
        <right style="medium">
          <color indexed="64"/>
        </right>
        <bottom style="medium">
          <color indexed="64"/>
        </bottom>
      </border>
    </dxf>
    <dxf>
      <border>
        <right style="medium">
          <color indexed="64"/>
        </right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color theme="1"/>
      </font>
      <fill>
        <patternFill patternType="none">
          <bgColor auto="1"/>
        </patternFill>
      </fill>
    </dxf>
    <dxf>
      <font>
        <b/>
        <color theme="1"/>
      </font>
      <fill>
        <patternFill patternType="none">
          <fgColor indexed="64"/>
          <bgColor auto="1"/>
        </patternFill>
      </fill>
      <border>
        <bottom style="thin">
          <color theme="0"/>
        </bottom>
      </border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color theme="1"/>
      </font>
      <fill>
        <patternFill patternType="none">
          <bgColor auto="1"/>
        </patternFill>
      </fill>
    </dxf>
    <dxf>
      <font>
        <b/>
        <color theme="1"/>
      </font>
      <fill>
        <patternFill patternType="none">
          <fgColor indexed="64"/>
          <bgColor auto="1"/>
        </patternFill>
      </fill>
      <border>
        <bottom style="thin">
          <color theme="0"/>
        </bottom>
      </border>
    </dxf>
    <dxf>
      <fill>
        <patternFill patternType="none">
          <bgColor auto="1"/>
        </patternFill>
      </fill>
      <border>
        <top style="thin">
          <color theme="0" tint="-0.34998626667073579"/>
        </top>
      </border>
    </dxf>
    <dxf>
      <font>
        <b/>
        <color theme="1"/>
      </font>
      <fill>
        <patternFill patternType="solid">
          <bgColor theme="5" tint="0.59996337778862885"/>
        </patternFill>
      </fill>
    </dxf>
    <dxf>
      <font>
        <b/>
        <color theme="1"/>
      </font>
      <fill>
        <gradientFill type="path">
          <stop position="0">
            <color rgb="FFFF0000"/>
          </stop>
          <stop position="1">
            <color theme="0" tint="-5.0965910824915313E-2"/>
          </stop>
        </gradient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border>
        <left style="thin">
          <color theme="0" tint="-0.44999542222357858"/>
        </left>
        <right style="thin">
          <color theme="0" tint="-0.44999542222357858"/>
        </right>
        <top style="thin">
          <color theme="0" tint="-0.44999542222357858"/>
        </top>
        <bottom style="thin">
          <color theme="0" tint="-0.44999542222357858"/>
        </bottom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border>
        <right style="thin">
          <color theme="1" tint="0.499984740745262"/>
        </right>
      </border>
    </dxf>
    <dxf>
      <font>
        <b/>
        <color theme="1"/>
      </font>
      <fill>
        <patternFill patternType="none">
          <bgColor auto="1"/>
        </patternFill>
      </fill>
      <border>
        <left style="medium">
          <color theme="1" tint="0.499984740745262"/>
        </left>
        <right style="medium">
          <color theme="1" tint="0.499984740745262"/>
        </right>
        <top style="medium">
          <color theme="1" tint="0.499984740745262"/>
        </top>
        <bottom style="medium">
          <color theme="1" tint="0.499984740745262"/>
        </bottom>
      </border>
    </dxf>
    <dxf>
      <font>
        <b/>
        <color theme="1"/>
      </font>
      <fill>
        <patternFill>
          <bgColor theme="3" tint="0.59996337778862885"/>
        </patternFill>
      </fill>
      <border>
        <left style="medium">
          <color theme="1" tint="0.499984740745262"/>
        </left>
        <right style="medium">
          <color theme="1" tint="0.499984740745262"/>
        </right>
        <top style="medium">
          <color theme="1" tint="0.499984740745262"/>
        </top>
        <bottom style="medium">
          <color theme="1" tint="0.499984740745262"/>
        </bottom>
        <horizontal style="thin">
          <color theme="0"/>
        </horizontal>
      </border>
    </dxf>
    <dxf>
      <font>
        <color theme="1"/>
      </font>
      <border>
        <horizontal style="thin">
          <color theme="0" tint="-0.14999847407452621"/>
        </horizontal>
      </border>
    </dxf>
    <dxf>
      <fill>
        <patternFill>
          <bgColor theme="8" tint="-0.24994659260841701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-0.24994659260841701"/>
        </patternFill>
      </fill>
    </dxf>
    <dxf>
      <font>
        <b/>
        <i val="0"/>
      </font>
      <fill>
        <patternFill>
          <bgColor rgb="FFFF0000"/>
        </patternFill>
      </fill>
    </dxf>
  </dxfs>
  <tableStyles count="5" defaultTableStyle="TableStyleMedium2" defaultPivotStyle="PivotStyleLight16">
    <tableStyle name="Estilo de tabla 1" pivot="0" count="1" xr9:uid="{00000000-0011-0000-FFFF-FFFF00000000}">
      <tableStyleElement type="totalRow" dxfId="51"/>
    </tableStyle>
    <tableStyle name="Estilo de tabla 2" pivot="0" count="1" xr9:uid="{00000000-0011-0000-FFFF-FFFF01000000}">
      <tableStyleElement type="firstColumnStripe" dxfId="50"/>
    </tableStyle>
    <tableStyle name="Estilo de tabla 3" pivot="0" count="1" xr9:uid="{00000000-0011-0000-FFFF-FFFF02000000}">
      <tableStyleElement type="firstColumnStripe" size="2" dxfId="49"/>
    </tableStyle>
    <tableStyle name="Estilo de tabla dinámica 1" table="0" count="1" xr9:uid="{00000000-0011-0000-FFFF-FFFF03000000}">
      <tableStyleElement type="thirdSubtotalRow" dxfId="48"/>
    </tableStyle>
    <tableStyle name="PivotStyleLight8 2" table="0" count="11" xr9:uid="{00000000-0011-0000-FFFF-FFFF04000000}">
      <tableStyleElement type="wholeTable" dxfId="47"/>
      <tableStyleElement type="headerRow" dxfId="46"/>
      <tableStyleElement type="totalRow" dxfId="45"/>
      <tableStyleElement type="firstColumn" dxfId="44"/>
      <tableStyleElement type="firstRowStripe" dxfId="43"/>
      <tableStyleElement type="firstColumnStripe" dxfId="42"/>
      <tableStyleElement type="firstSubtotalRow" dxfId="41"/>
      <tableStyleElement type="secondSubtotalRow" dxfId="40"/>
      <tableStyleElement type="secondColumnSubheading" dxfId="39"/>
      <tableStyleElement type="firstRowSubheading" dxfId="38"/>
      <tableStyleElement type="secondRowSubheading" dxfId="37"/>
    </tableStyle>
  </tableStyles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pivotCacheDefinition" Target="pivotCache/pivotCacheDefinition3.xml"/><Relationship Id="rId5" Type="http://schemas.openxmlformats.org/officeDocument/2006/relationships/externalLink" Target="externalLinks/externalLink1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2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200025</xdr:colOff>
          <xdr:row>28</xdr:row>
          <xdr:rowOff>95250</xdr:rowOff>
        </xdr:from>
        <xdr:to>
          <xdr:col>11</xdr:col>
          <xdr:colOff>38100</xdr:colOff>
          <xdr:row>30</xdr:row>
          <xdr:rowOff>123825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2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36</xdr:col>
      <xdr:colOff>56813</xdr:colOff>
      <xdr:row>13</xdr:row>
      <xdr:rowOff>74251</xdr:rowOff>
    </xdr:from>
    <xdr:to>
      <xdr:col>36</xdr:col>
      <xdr:colOff>245870</xdr:colOff>
      <xdr:row>13</xdr:row>
      <xdr:rowOff>74251</xdr:rowOff>
    </xdr:to>
    <xdr:cxnSp macro="">
      <xdr:nvCxnSpPr>
        <xdr:cNvPr id="2" name="Conector recto de flecha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CxnSpPr/>
      </xdr:nvCxnSpPr>
      <xdr:spPr>
        <a:xfrm>
          <a:off x="12486938" y="2074501"/>
          <a:ext cx="18905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2da9d4ecdf39d58c/Aquarelle.es%20-Maria/Compras/Horarios/Horarios%202023/Horario%20Semana%202022%20General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oises\Documents\HDD\Professional\_Companies\_ExcelTotal\Productos\LeadMagnets\Calendario\Calendario%20Template%20Chandoo%20-%20lunes%20a%20domingo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HDD\Professional\_Companies\_ExcelTotal\Productos\LeadMagnets\Calendario\Calendario%20Template%20Chandoo%20-%20lunes%20a%20domingo.xlsx" TargetMode="External"/><Relationship Id="rId1" Type="http://schemas.openxmlformats.org/officeDocument/2006/relationships/externalLinkPath" Target="file:///E:\HDD\Professional\_Companies\_ExcelTotal\Productos\LeadMagnets\Calendario\Calendario%20Template%20Chandoo%20-%20lunes%20a%20domingo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2da9d4ecdf39d58c/Aquarelle.es%20-Maria/Compras/STOCK-principal%20-%20ACTUAL%20V1.xlsm" TargetMode="External"/><Relationship Id="rId1" Type="http://schemas.openxmlformats.org/officeDocument/2006/relationships/externalLinkPath" Target="/2da9d4ecdf39d58c/Aquarelle.es%20-Maria/Compras/STOCK-principal%20-%20ACTUAL%20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mpleto"/>
      <sheetName val="Mini"/>
      <sheetName val="Diario"/>
      <sheetName val="Campañas 2022"/>
      <sheetName val=" Mensual Compras "/>
      <sheetName val="S52"/>
      <sheetName val="S51"/>
      <sheetName val="S50 (Modificado)"/>
      <sheetName val="S50"/>
      <sheetName val="S49"/>
      <sheetName val="S48"/>
      <sheetName val="S47"/>
      <sheetName val="S46"/>
      <sheetName val="S45"/>
      <sheetName val="S44"/>
      <sheetName val="S43"/>
      <sheetName val="S42"/>
      <sheetName val="S41"/>
      <sheetName val="S40"/>
      <sheetName val="S39"/>
      <sheetName val="S38"/>
      <sheetName val="S36"/>
      <sheetName val="S38 (modificado) (2)"/>
      <sheetName val="S37"/>
      <sheetName val="S35"/>
      <sheetName val="S34"/>
      <sheetName val="S33"/>
      <sheetName val="S32"/>
      <sheetName val="S31"/>
      <sheetName val="S30 (modfificado)"/>
      <sheetName val="S30"/>
      <sheetName val="S29"/>
      <sheetName val="S28"/>
      <sheetName val="S27)"/>
      <sheetName val="S26 (Modificado)"/>
      <sheetName val="S26"/>
      <sheetName val="S25 (modificado)"/>
      <sheetName val="S25"/>
      <sheetName val="S24"/>
      <sheetName val="S23"/>
      <sheetName val="S22"/>
      <sheetName val="S21"/>
      <sheetName val="S20"/>
      <sheetName val="S19"/>
      <sheetName val="S18 (modificado)"/>
      <sheetName val="S18"/>
      <sheetName val="S17 DIA DE MADRE"/>
      <sheetName val="S15"/>
      <sheetName val=" S16 San Jordi"/>
      <sheetName val="S14"/>
      <sheetName val="S13"/>
      <sheetName val="S12_2022 Mother's day"/>
      <sheetName val="S11_2022 modificado"/>
      <sheetName val="S11_2022    "/>
      <sheetName val="S10_2022    "/>
      <sheetName val="S09_2022   "/>
      <sheetName val="S08_2022  "/>
      <sheetName val="S06_2022 "/>
      <sheetName val="S07_2022  "/>
      <sheetName val="S05_2022 "/>
      <sheetName val="S04_2022 "/>
      <sheetName val="S03_2022 "/>
      <sheetName val="S02_2022 "/>
      <sheetName val="S01_2022"/>
      <sheetName val="Configurac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ull"/>
      <sheetName val="Monthly"/>
      <sheetName val="Mini"/>
      <sheetName val="Full - color 1"/>
      <sheetName val="Full - color 2"/>
      <sheetName val="Full - color 3"/>
    </sheetNames>
    <sheetDataSet>
      <sheetData sheetId="0"/>
      <sheetData sheetId="1"/>
      <sheetData sheetId="2">
        <row r="6">
          <cell r="C6">
            <v>44557</v>
          </cell>
          <cell r="D6">
            <v>44558</v>
          </cell>
          <cell r="E6">
            <v>44559</v>
          </cell>
          <cell r="F6">
            <v>44560</v>
          </cell>
          <cell r="G6">
            <v>44561</v>
          </cell>
          <cell r="H6">
            <v>44562</v>
          </cell>
          <cell r="I6">
            <v>44563</v>
          </cell>
          <cell r="J6">
            <v>44564</v>
          </cell>
          <cell r="K6">
            <v>44565</v>
          </cell>
          <cell r="L6">
            <v>44566</v>
          </cell>
          <cell r="M6">
            <v>44567</v>
          </cell>
          <cell r="N6">
            <v>44568</v>
          </cell>
          <cell r="O6">
            <v>44569</v>
          </cell>
          <cell r="P6">
            <v>44570</v>
          </cell>
          <cell r="Q6">
            <v>44571</v>
          </cell>
          <cell r="R6">
            <v>44572</v>
          </cell>
          <cell r="S6">
            <v>44573</v>
          </cell>
          <cell r="T6">
            <v>44574</v>
          </cell>
          <cell r="U6">
            <v>44575</v>
          </cell>
          <cell r="V6">
            <v>44576</v>
          </cell>
          <cell r="W6">
            <v>44577</v>
          </cell>
          <cell r="X6">
            <v>44578</v>
          </cell>
          <cell r="Y6">
            <v>44579</v>
          </cell>
          <cell r="Z6">
            <v>44580</v>
          </cell>
          <cell r="AA6">
            <v>44581</v>
          </cell>
          <cell r="AB6">
            <v>44582</v>
          </cell>
          <cell r="AC6">
            <v>44583</v>
          </cell>
          <cell r="AD6">
            <v>44584</v>
          </cell>
          <cell r="AE6">
            <v>44585</v>
          </cell>
          <cell r="AF6">
            <v>44586</v>
          </cell>
          <cell r="AG6">
            <v>44587</v>
          </cell>
          <cell r="AH6">
            <v>44588</v>
          </cell>
          <cell r="AI6">
            <v>44589</v>
          </cell>
          <cell r="AJ6">
            <v>44590</v>
          </cell>
          <cell r="AK6">
            <v>44591</v>
          </cell>
          <cell r="AL6">
            <v>44592</v>
          </cell>
          <cell r="AM6">
            <v>44593</v>
          </cell>
          <cell r="AN6">
            <v>44594</v>
          </cell>
          <cell r="AO6">
            <v>44595</v>
          </cell>
          <cell r="AP6">
            <v>44596</v>
          </cell>
          <cell r="AQ6">
            <v>44597</v>
          </cell>
          <cell r="AR6">
            <v>44598</v>
          </cell>
        </row>
      </sheetData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ull"/>
      <sheetName val="Monthly"/>
      <sheetName val="Mini"/>
      <sheetName val="Full - color 1"/>
      <sheetName val="Full - color 2"/>
      <sheetName val="Full - color 3"/>
    </sheetNames>
    <sheetDataSet>
      <sheetData sheetId="0"/>
      <sheetData sheetId="1"/>
      <sheetData sheetId="2">
        <row r="13">
          <cell r="C13">
            <v>46230</v>
          </cell>
          <cell r="D13">
            <v>46231</v>
          </cell>
          <cell r="E13">
            <v>46232</v>
          </cell>
          <cell r="F13">
            <v>46233</v>
          </cell>
          <cell r="G13">
            <v>46234</v>
          </cell>
          <cell r="H13">
            <v>46235</v>
          </cell>
          <cell r="I13">
            <v>46236</v>
          </cell>
          <cell r="J13">
            <v>46237</v>
          </cell>
          <cell r="K13">
            <v>46238</v>
          </cell>
          <cell r="L13">
            <v>46239</v>
          </cell>
          <cell r="M13">
            <v>46240</v>
          </cell>
          <cell r="N13">
            <v>46241</v>
          </cell>
          <cell r="O13">
            <v>46242</v>
          </cell>
          <cell r="P13">
            <v>46243</v>
          </cell>
          <cell r="Q13">
            <v>46244</v>
          </cell>
          <cell r="R13">
            <v>46245</v>
          </cell>
          <cell r="S13">
            <v>46246</v>
          </cell>
          <cell r="T13">
            <v>46247</v>
          </cell>
          <cell r="U13">
            <v>46248</v>
          </cell>
          <cell r="V13">
            <v>46249</v>
          </cell>
          <cell r="W13">
            <v>46250</v>
          </cell>
          <cell r="X13">
            <v>46251</v>
          </cell>
          <cell r="Y13">
            <v>46252</v>
          </cell>
          <cell r="Z13">
            <v>46253</v>
          </cell>
          <cell r="AA13">
            <v>46254</v>
          </cell>
          <cell r="AB13">
            <v>46255</v>
          </cell>
          <cell r="AC13">
            <v>46256</v>
          </cell>
          <cell r="AD13">
            <v>46257</v>
          </cell>
          <cell r="AE13">
            <v>46258</v>
          </cell>
          <cell r="AF13">
            <v>46259</v>
          </cell>
          <cell r="AG13">
            <v>46260</v>
          </cell>
          <cell r="AH13">
            <v>46261</v>
          </cell>
          <cell r="AI13">
            <v>46262</v>
          </cell>
          <cell r="AJ13">
            <v>46263</v>
          </cell>
          <cell r="AK13">
            <v>46264</v>
          </cell>
          <cell r="AL13">
            <v>46265</v>
          </cell>
          <cell r="AM13">
            <v>46266</v>
          </cell>
          <cell r="AN13">
            <v>46267</v>
          </cell>
          <cell r="AO13">
            <v>46268</v>
          </cell>
          <cell r="AP13">
            <v>46269</v>
          </cell>
          <cell r="AQ13">
            <v>46270</v>
          </cell>
          <cell r="AR13">
            <v>46271</v>
          </cell>
        </row>
        <row r="14">
          <cell r="C14">
            <v>46265</v>
          </cell>
          <cell r="D14">
            <v>46266</v>
          </cell>
          <cell r="E14">
            <v>46267</v>
          </cell>
          <cell r="F14">
            <v>46268</v>
          </cell>
          <cell r="G14">
            <v>46269</v>
          </cell>
          <cell r="H14">
            <v>46270</v>
          </cell>
          <cell r="I14">
            <v>46271</v>
          </cell>
          <cell r="J14">
            <v>46272</v>
          </cell>
          <cell r="K14">
            <v>46273</v>
          </cell>
          <cell r="L14">
            <v>46274</v>
          </cell>
          <cell r="M14">
            <v>46275</v>
          </cell>
          <cell r="N14">
            <v>46276</v>
          </cell>
          <cell r="O14">
            <v>46277</v>
          </cell>
          <cell r="P14">
            <v>46278</v>
          </cell>
          <cell r="Q14">
            <v>46279</v>
          </cell>
          <cell r="R14">
            <v>46280</v>
          </cell>
          <cell r="S14">
            <v>46281</v>
          </cell>
          <cell r="T14">
            <v>46282</v>
          </cell>
          <cell r="U14">
            <v>46283</v>
          </cell>
          <cell r="V14">
            <v>46284</v>
          </cell>
          <cell r="W14">
            <v>46285</v>
          </cell>
          <cell r="X14">
            <v>46286</v>
          </cell>
          <cell r="Y14">
            <v>46287</v>
          </cell>
          <cell r="Z14">
            <v>46288</v>
          </cell>
          <cell r="AA14">
            <v>46289</v>
          </cell>
          <cell r="AB14">
            <v>46290</v>
          </cell>
          <cell r="AC14">
            <v>46291</v>
          </cell>
          <cell r="AD14">
            <v>46292</v>
          </cell>
          <cell r="AE14">
            <v>46293</v>
          </cell>
          <cell r="AF14">
            <v>46294</v>
          </cell>
          <cell r="AG14">
            <v>46295</v>
          </cell>
          <cell r="AH14">
            <v>46296</v>
          </cell>
          <cell r="AI14">
            <v>46297</v>
          </cell>
          <cell r="AJ14">
            <v>46298</v>
          </cell>
          <cell r="AK14">
            <v>46299</v>
          </cell>
          <cell r="AL14">
            <v>46300</v>
          </cell>
          <cell r="AM14">
            <v>46301</v>
          </cell>
          <cell r="AN14">
            <v>46302</v>
          </cell>
          <cell r="AO14">
            <v>46303</v>
          </cell>
          <cell r="AP14">
            <v>46304</v>
          </cell>
          <cell r="AQ14">
            <v>46305</v>
          </cell>
          <cell r="AR14">
            <v>46306</v>
          </cell>
        </row>
      </sheetData>
      <sheetData sheetId="3"/>
      <sheetData sheetId="4"/>
      <sheetData sheetId="5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etalle1"/>
      <sheetName val="Datos"/>
      <sheetName val="Stock"/>
      <sheetName val="Prea Simples"/>
      <sheetName val="Prea Compuestos"/>
      <sheetName val="Fabricacion"/>
      <sheetName val="Control de stock"/>
      <sheetName val="Promt"/>
      <sheetName val="IP DE ORDENADORES"/>
      <sheetName val="Prev de preasignacion "/>
      <sheetName val="notas"/>
      <sheetName val="Poinsethias"/>
      <sheetName val="Compras VACAS"/>
      <sheetName val="Espacio cubos"/>
      <sheetName val="Calculo prepa SV"/>
      <sheetName val="Calendario CAmpañas"/>
      <sheetName val="Medidas chocos"/>
      <sheetName val="Semanal"/>
      <sheetName val="Hoja3"/>
      <sheetName val="Hoja3 (2)"/>
    </sheetNames>
    <sheetDataSet>
      <sheetData sheetId="0"/>
      <sheetData sheetId="1"/>
      <sheetData sheetId="2">
        <row r="4">
          <cell r="J4" t="str">
            <v>A-Rosas-Colo</v>
          </cell>
        </row>
        <row r="5">
          <cell r="J5" t="str">
            <v>A-Rose-Ethio</v>
          </cell>
        </row>
        <row r="6">
          <cell r="J6" t="str">
            <v>C-AUTHENTIQU</v>
          </cell>
        </row>
        <row r="7">
          <cell r="J7" t="str">
            <v>C-BLEU-PARFU</v>
          </cell>
        </row>
        <row r="8">
          <cell r="J8" t="str">
            <v>C-DEEP-PURPL</v>
          </cell>
        </row>
        <row r="9">
          <cell r="J9" t="str">
            <v>C-GIRASOLES-</v>
          </cell>
        </row>
        <row r="10">
          <cell r="J10" t="str">
            <v>C-Lys_champe</v>
          </cell>
        </row>
        <row r="11">
          <cell r="J11" t="str">
            <v>C-PASTEL-HIV</v>
          </cell>
        </row>
        <row r="12">
          <cell r="J12" t="str">
            <v>C-PIVOINE-PE</v>
          </cell>
        </row>
        <row r="13">
          <cell r="J13" t="str">
            <v>C-RAMO_FLORI</v>
          </cell>
        </row>
        <row r="14">
          <cell r="J14" t="str">
            <v>C-STATICE-RO</v>
          </cell>
        </row>
        <row r="15">
          <cell r="J15" t="str">
            <v>C-TOSCANA-PA</v>
          </cell>
        </row>
        <row r="16">
          <cell r="J16" t="str">
            <v>C-TOURNESOL_</v>
          </cell>
        </row>
        <row r="17">
          <cell r="J17" t="str">
            <v>C-ZODIAC-CAN</v>
          </cell>
        </row>
        <row r="18">
          <cell r="J18" t="str">
            <v>P-ANTHURIUM_</v>
          </cell>
        </row>
        <row r="19">
          <cell r="J19" t="str">
            <v>P-Bonsai_1</v>
          </cell>
        </row>
        <row r="20">
          <cell r="J20" t="str">
            <v>P-Orquidea_p</v>
          </cell>
        </row>
        <row r="21">
          <cell r="J21" t="str">
            <v>S-Alstro_par</v>
          </cell>
        </row>
        <row r="22">
          <cell r="J22" t="str">
            <v>S-Lilium-Ros</v>
          </cell>
        </row>
        <row r="23">
          <cell r="J23" t="str">
            <v>S-Peonia-ros</v>
          </cell>
        </row>
        <row r="24">
          <cell r="J24" t="str">
            <v>S-Premium-12</v>
          </cell>
        </row>
        <row r="25">
          <cell r="J25" t="str">
            <v>S-R-Blanc-Pr</v>
          </cell>
        </row>
        <row r="26">
          <cell r="J26" t="str">
            <v>total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ía Aquarelle" refreshedDate="46203.502333796299" createdVersion="6" refreshedVersion="8" minRefreshableVersion="3" recordCount="79" xr:uid="{C537B754-10D9-4C25-9CA6-DDE9E0F58B71}">
  <cacheSource type="worksheet">
    <worksheetSource ref="K2:P90" sheet="Datos"/>
  </cacheSource>
  <cacheFields count="6">
    <cacheField name="ID" numFmtId="0">
      <sharedItems containsNonDate="0" containsBlank="1" count="81">
        <m/>
        <s v="S" u="1"/>
        <s v="Reinosa" u="1"/>
        <s v="Serrano" u="1"/>
        <s v="Romero Delgado" u="1"/>
        <s v="Rubio Ponce" u="1"/>
        <s v="BRAVO IBANEZ" u="1"/>
        <s v="Moreno López" u="1"/>
        <s v="Wanda" u="1"/>
        <s v="Woodhams" u="1"/>
        <s v="Angustias" u="1"/>
        <s v="Rojas Suarez" u="1"/>
        <s v="Fall" u="1"/>
        <s v="Abati" u="1"/>
        <s v="Simal" u="1"/>
        <s v="Rawlings" u="1"/>
        <s v="Salgueiro Rial" u="1"/>
        <s v="Vera" u="1"/>
        <s v="RODRIGUEZ ALVAREZ" u="1"/>
        <s v="Zapatero Lourinho" u="1"/>
        <s v="Rodajo" u="1"/>
        <s v="Tocto Valverde" u="1"/>
        <s v="Morgan" u="1"/>
        <s v="Sanchez Carbajal" u="1"/>
        <s v="PEON" u="1"/>
        <s v="ARROYO" u="1"/>
        <s v="Ylikar" u="1"/>
        <s v="Cortes Perez" u="1"/>
        <s v="Nuria" u="1"/>
        <s v="Avilas" u="1"/>
        <s v="Lucas Grau" u="1"/>
        <s v="Dawn" u="1"/>
        <s v="Iranzu" u="1"/>
        <s v="Nuñez" u="1"/>
        <s v="Morales Ramos" u="1"/>
        <s v="SIMON" u="1"/>
        <s v="CASAS ROBLEDANO" u="1"/>
        <s v="Ortega" u="1"/>
        <s v="Lorite Cajal" u="1"/>
        <s v="Alouat Gandoul" u="1"/>
        <s v="JIMENEZ GARCIA" u="1"/>
        <s v="Arias Catalan" u="1"/>
        <s v="Berkaev" u="1"/>
        <s v="Diaz San Francisco" u="1"/>
        <s v="Guerrero flores" u="1"/>
        <s v="Gavalda Montoliu" u="1"/>
        <s v="MUGUERZA" u="1"/>
        <s v="Landaburu" u="1"/>
        <s v="TAMAYO MOLINA" u="1"/>
        <s v="Perez Morales" u="1"/>
        <s v="Rodriguez Gomez" u="1"/>
        <s v="Banegas" u="1"/>
        <s v="Oyarbide" u="1"/>
        <s v="Villar Cuetara" u="1"/>
        <s v="Alexe" u="1"/>
        <s v="Alonso Algaba" u="1"/>
        <s v="Jimenez Aguirre" u="1"/>
        <s v="Gascon" u="1"/>
        <s v="El khamlichi" u="1"/>
        <s v="Ucha Mutilba" u="1"/>
        <s v="Romero Martin" u="1"/>
        <s v="Hassan" u="1"/>
        <s v="Kosheva" u="1"/>
        <s v="Planchart" u="1"/>
        <s v="Anastasiya" u="1"/>
        <s v="Morales Rojas" u="1"/>
        <s v="Moumen Boudra" u="1"/>
        <s v="Diazbedia" u="1"/>
        <s v="Fernandez" u="1"/>
        <s v="Sanchez Guillen" u="1"/>
        <s v="GONZALEZ" u="1"/>
        <s v="Diaz-Bethencourt" u="1"/>
        <s v="Nitsch" u="1"/>
        <s v="Marco" u="1"/>
        <s v="Rivera Ortega" u="1"/>
        <s v="Kale" u="1"/>
        <s v="MOISE" u="1"/>
        <s v="MARTIN DE LA FUENTE" u="1"/>
        <s v="Ana" u="1"/>
        <s v="Gomez Lopez" u="1"/>
        <s v="Rio-Valle Matilla" u="1"/>
      </sharedItems>
    </cacheField>
    <cacheField name="letra categoria" numFmtId="0">
      <sharedItems containsBlank="1"/>
    </cacheField>
    <cacheField name="CATEGORIA" numFmtId="0">
      <sharedItems containsBlank="1"/>
    </cacheField>
    <cacheField name="Producto Gnra" numFmtId="0">
      <sharedItems containsBlank="1" containsMixedTypes="1" containsNumber="1" containsInteger="1" minValue="0" maxValue="2" count="27">
        <s v="A-Rosas-Colo"/>
        <s v="A-Rose-Ethio"/>
        <s v="C-AUTHENTIQU"/>
        <s v="C-BLEU-PARFU"/>
        <s v="C-DEEP-PURPL"/>
        <s v="C-GIRASOLES-"/>
        <s v="C-Lys_champe"/>
        <s v="C-PASTEL-HIV"/>
        <s v="C-PIVOINE-PE"/>
        <s v="C-RAMO_FLORI"/>
        <s v="C-STATICE-RO"/>
        <s v="C-TOSCANA-PA"/>
        <s v="C-TOURNESOL_"/>
        <s v="C-ZODIAC-CAN"/>
        <s v="P-ANTHURIUM_"/>
        <s v="P-Bonsai_1"/>
        <s v="P-Orquidea_p"/>
        <s v="S-Alstro_par"/>
        <s v="S-Lilium-Ros"/>
        <s v="S-Peonia-ros"/>
        <s v="S-Premium-12"/>
        <s v="S-R-Blanc-Pr"/>
        <s v="0"/>
        <m/>
        <n v="0" u="1"/>
        <n v="2" u="1"/>
        <n v="1" u="1"/>
      </sharedItems>
    </cacheField>
    <cacheField name="Producto" numFmtId="0">
      <sharedItems containsBlank="1" containsMixedTypes="1" containsNumber="1" containsInteger="1" minValue="0" maxValue="194" count="64">
        <s v="A-Rosas-Colores-30_1"/>
        <s v="A-Rosas-Colores-40_2"/>
        <s v="A-Rosas-Colores-50_3"/>
        <s v="A-Rosas-Colores-60_4"/>
        <s v="A-Rose-Ethiopia-30_1"/>
        <s v="A-Rose-Ethiopia-40_2"/>
        <s v="A-Rose-Ethiopia-50_3"/>
        <s v="A-Rose-Ethiopia-60_4"/>
        <s v="C-AUTHENTIQUE_1"/>
        <s v="C-AUTHENTIQUE_2"/>
        <s v="C-AUTHENTIQUE_3"/>
        <s v="C-BLEU-PARFUME_1"/>
        <s v="C-BLEU-PARFUME_2"/>
        <s v="C-BLEU-PARFUME_3"/>
        <s v="C-DEEP-PURPLE_1"/>
        <s v="C-DEEP-PURPLE_2"/>
        <s v="C-DEEP-PURPLE_3"/>
        <s v="C-GIRASOLES-BQT_1"/>
        <s v="C-Lys_champetre_2"/>
        <s v="C-PASTEL-HIVERS_1"/>
        <s v="C-PIVOINE-PEPS-2026_1"/>
        <s v="C-RAMO_FLORISTA_1"/>
        <s v="C-RAMO_FLORISTA_2"/>
        <s v="C-RAMO_FLORISTA_3"/>
        <s v="C-STATICE-ROMANTICO_1"/>
        <s v="C-STATICE-ROMANTICO_2"/>
        <s v="C-STATICE-ROMANTICO_3"/>
        <s v="C-TOSCANA-PASTEL_1"/>
        <s v="C-TOSCANA-PASTEL_2"/>
        <s v="C-TOSCANA-PASTEL_3"/>
        <s v="C-TOURNESOL_1"/>
        <s v="C-TOURNESOL_2"/>
        <s v="C-TOURNESOL_3"/>
        <s v="C-ZODIAC-CANCER_1"/>
        <s v="C-ZODIAC-CANCER_2"/>
        <s v="P-ANTHURIUM_13cm"/>
        <s v="P-Bonsai_1"/>
        <s v="P-Orquidea_phal_blan_PROD_1"/>
        <s v="P-Orquidea_phal_rose_1"/>
        <s v="S-Alstro_parme_15_1"/>
        <s v="S-Alstro_parme_20_2"/>
        <s v="S-Alstro_parme_25_3"/>
        <s v="S-Lilium-Rosa-06-P_1"/>
        <s v="S-Lilium-Rosa-08-P_2"/>
        <s v="S-Lilium-Rosa-10-P_3"/>
        <s v="S-Peonia-rosa-12p_2"/>
        <s v="S-Premium-12-18-24-30-roja_1"/>
        <s v="S-Premium-12-18-24-30-roja_2"/>
        <s v="S-Premium-12-18-24-30-roja_3"/>
        <s v="S-Premium-12-18-24-30-roja_4"/>
        <s v="S-R-Blanc-Premi-12-P_1"/>
        <s v="S-R-Blanc-Premi-18-P_2"/>
        <s v="S-R-Blanc-Premi-24-P_3"/>
        <s v="S-R-Blanc-Premi-30-P_4"/>
        <n v="0"/>
        <m/>
        <n v="194" u="1"/>
        <n v="132" u="1"/>
        <n v="184" u="1"/>
        <n v="2" u="1"/>
        <n v="66" u="1"/>
        <n v="62" u="1"/>
        <n v="6" u="1"/>
        <n v="152" u="1"/>
      </sharedItems>
    </cacheField>
    <cacheField name="STOCK" numFmtId="0">
      <sharedItems containsString="0" containsBlank="1" containsNumber="1" containsInteger="1" minValue="-4" maxValue="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ía Aquarelle" refreshedDate="46203.502334027777" createdVersion="6" refreshedVersion="8" recordCount="65" xr:uid="{00000000-000A-0000-FFFF-FFFF20000000}">
  <cacheSource type="worksheet">
    <worksheetSource ref="N2:P67" sheet="Datos"/>
  </cacheSource>
  <cacheFields count="3">
    <cacheField name="Producto Gnra" numFmtId="0">
      <sharedItems containsMixedTypes="1" containsNumber="1" containsInteger="1" minValue="0" maxValue="2" count="28">
        <s v="A-Rosas-Colo"/>
        <s v="A-Rose-Ethio"/>
        <s v="C-AUTHENTIQU"/>
        <s v="C-BLEU-PARFU"/>
        <s v="C-DEEP-PURPL"/>
        <s v="C-GIRASOLES-"/>
        <s v="C-Lys_champe"/>
        <s v="C-PASTEL-HIV"/>
        <s v="C-PIVOINE-PE"/>
        <s v="C-RAMO_FLORI"/>
        <s v="C-STATICE-RO"/>
        <s v="C-TOSCANA-PA"/>
        <s v="C-TOURNESOL_"/>
        <s v="C-ZODIAC-CAN"/>
        <s v="P-ANTHURIUM_"/>
        <s v="P-Bonsai_1"/>
        <s v="P-Orquidea_p"/>
        <s v="S-Alstro_par"/>
        <s v="S-Lilium-Ros"/>
        <s v="S-Peonia-ros"/>
        <s v="S-Premium-12"/>
        <s v="S-R-Blanc-Pr"/>
        <s v="0"/>
        <n v="0" u="1"/>
        <s v="Fórmula2" f="1"/>
        <n v="2" u="1"/>
        <s v="Fórmula1" f="1"/>
        <n v="1" u="1"/>
      </sharedItems>
    </cacheField>
    <cacheField name="Producto" numFmtId="0">
      <sharedItems containsMixedTypes="1" containsNumber="1" containsInteger="1" minValue="0" maxValue="0"/>
    </cacheField>
    <cacheField name="STOCK" numFmtId="0">
      <sharedItems containsSemiMixedTypes="0" containsString="0" containsNumber="1" containsInteger="1" minValue="-4" maxValue="25"/>
    </cacheField>
  </cacheFields>
  <calculatedItems count="2">
    <calculatedItem>
      <pivotArea cacheIndex="1" outline="0" fieldPosition="0">
        <references count="1">
          <reference field="0" count="1">
            <x v="26"/>
          </reference>
        </references>
      </pivotArea>
    </calculatedItem>
    <calculatedItem>
      <pivotArea cacheIndex="1" outline="0" fieldPosition="0">
        <references count="1">
          <reference field="0" count="1">
            <x v="24"/>
          </reference>
        </references>
      </pivotArea>
    </calculatedItem>
  </calculatedItem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ía Aquarelle" refreshedDate="46203.502334606485" createdVersion="6" refreshedVersion="8" minRefreshableVersion="3" recordCount="65" xr:uid="{4D6C77DF-6CA4-47FA-A8DF-CD8B347B33D1}">
  <cacheSource type="worksheet">
    <worksheetSource ref="M2:P67" sheet="Datos"/>
  </cacheSource>
  <cacheFields count="4">
    <cacheField name="CATEGORIA" numFmtId="0">
      <sharedItems containsBlank="1" count="11">
        <s v="ROSAS"/>
        <s v="COMPUESTOS"/>
        <s v="PLANTAS"/>
        <s v="SIMPLES"/>
        <m u="1"/>
        <s v="S-R-Premium-" u="1"/>
        <s v="Chargé" u="1"/>
        <s v="Expédié" u="1"/>
        <s v="Lu" u="1"/>
        <s v="BL" u="1"/>
        <s v="Etiqueté" u="1"/>
      </sharedItems>
    </cacheField>
    <cacheField name="Producto Gnra" numFmtId="0">
      <sharedItems/>
    </cacheField>
    <cacheField name="Producto" numFmtId="0">
      <sharedItems containsMixedTypes="1" containsNumber="1" containsInteger="1" minValue="0" maxValue="0"/>
    </cacheField>
    <cacheField name="STOCK" numFmtId="0">
      <sharedItems containsSemiMixedTypes="0" containsString="0" containsNumber="1" containsInteger="1" minValue="-4" maxValue="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9">
  <r>
    <x v="0"/>
    <s v="A"/>
    <s v="ROSAS"/>
    <x v="0"/>
    <x v="0"/>
    <n v="25"/>
  </r>
  <r>
    <x v="0"/>
    <s v="A"/>
    <s v="ROSAS"/>
    <x v="0"/>
    <x v="1"/>
    <n v="9"/>
  </r>
  <r>
    <x v="0"/>
    <s v="A"/>
    <s v="ROSAS"/>
    <x v="0"/>
    <x v="2"/>
    <n v="0"/>
  </r>
  <r>
    <x v="0"/>
    <s v="A"/>
    <s v="ROSAS"/>
    <x v="0"/>
    <x v="3"/>
    <n v="4"/>
  </r>
  <r>
    <x v="0"/>
    <s v="A"/>
    <s v="ROSAS"/>
    <x v="1"/>
    <x v="4"/>
    <n v="2"/>
  </r>
  <r>
    <x v="0"/>
    <s v="A"/>
    <s v="ROSAS"/>
    <x v="1"/>
    <x v="5"/>
    <n v="4"/>
  </r>
  <r>
    <x v="0"/>
    <s v="A"/>
    <s v="ROSAS"/>
    <x v="1"/>
    <x v="6"/>
    <n v="4"/>
  </r>
  <r>
    <x v="0"/>
    <s v="A"/>
    <s v="ROSAS"/>
    <x v="1"/>
    <x v="7"/>
    <n v="2"/>
  </r>
  <r>
    <x v="0"/>
    <s v="C"/>
    <s v="COMPUESTOS"/>
    <x v="2"/>
    <x v="8"/>
    <n v="2"/>
  </r>
  <r>
    <x v="0"/>
    <s v="C"/>
    <s v="COMPUESTOS"/>
    <x v="2"/>
    <x v="9"/>
    <n v="11"/>
  </r>
  <r>
    <x v="0"/>
    <s v="C"/>
    <s v="COMPUESTOS"/>
    <x v="2"/>
    <x v="10"/>
    <n v="3"/>
  </r>
  <r>
    <x v="0"/>
    <s v="C"/>
    <s v="COMPUESTOS"/>
    <x v="3"/>
    <x v="11"/>
    <n v="8"/>
  </r>
  <r>
    <x v="0"/>
    <s v="C"/>
    <s v="COMPUESTOS"/>
    <x v="3"/>
    <x v="12"/>
    <n v="12"/>
  </r>
  <r>
    <x v="0"/>
    <s v="C"/>
    <s v="COMPUESTOS"/>
    <x v="3"/>
    <x v="13"/>
    <n v="2"/>
  </r>
  <r>
    <x v="0"/>
    <s v="C"/>
    <s v="COMPUESTOS"/>
    <x v="4"/>
    <x v="14"/>
    <n v="5"/>
  </r>
  <r>
    <x v="0"/>
    <s v="C"/>
    <s v="COMPUESTOS"/>
    <x v="4"/>
    <x v="15"/>
    <n v="8"/>
  </r>
  <r>
    <x v="0"/>
    <s v="C"/>
    <s v="COMPUESTOS"/>
    <x v="4"/>
    <x v="16"/>
    <n v="2"/>
  </r>
  <r>
    <x v="0"/>
    <s v="C"/>
    <s v="COMPUESTOS"/>
    <x v="5"/>
    <x v="17"/>
    <n v="1"/>
  </r>
  <r>
    <x v="0"/>
    <s v="C"/>
    <s v="COMPUESTOS"/>
    <x v="6"/>
    <x v="18"/>
    <n v="7"/>
  </r>
  <r>
    <x v="0"/>
    <s v="C"/>
    <s v="COMPUESTOS"/>
    <x v="7"/>
    <x v="19"/>
    <n v="10"/>
  </r>
  <r>
    <x v="0"/>
    <s v="C"/>
    <s v="COMPUESTOS"/>
    <x v="8"/>
    <x v="20"/>
    <n v="2"/>
  </r>
  <r>
    <x v="0"/>
    <s v="C"/>
    <s v="COMPUESTOS"/>
    <x v="9"/>
    <x v="21"/>
    <n v="12"/>
  </r>
  <r>
    <x v="0"/>
    <s v="C"/>
    <s v="COMPUESTOS"/>
    <x v="9"/>
    <x v="22"/>
    <n v="19"/>
  </r>
  <r>
    <x v="0"/>
    <s v="C"/>
    <s v="COMPUESTOS"/>
    <x v="9"/>
    <x v="23"/>
    <n v="0"/>
  </r>
  <r>
    <x v="0"/>
    <s v="C"/>
    <s v="COMPUESTOS"/>
    <x v="10"/>
    <x v="24"/>
    <n v="10"/>
  </r>
  <r>
    <x v="0"/>
    <s v="C"/>
    <s v="COMPUESTOS"/>
    <x v="10"/>
    <x v="25"/>
    <n v="7"/>
  </r>
  <r>
    <x v="0"/>
    <s v="C"/>
    <s v="COMPUESTOS"/>
    <x v="10"/>
    <x v="26"/>
    <n v="0"/>
  </r>
  <r>
    <x v="0"/>
    <s v="C"/>
    <s v="COMPUESTOS"/>
    <x v="11"/>
    <x v="27"/>
    <n v="11"/>
  </r>
  <r>
    <x v="0"/>
    <s v="C"/>
    <s v="COMPUESTOS"/>
    <x v="11"/>
    <x v="28"/>
    <n v="8"/>
  </r>
  <r>
    <x v="0"/>
    <s v="C"/>
    <s v="COMPUESTOS"/>
    <x v="11"/>
    <x v="29"/>
    <n v="0"/>
  </r>
  <r>
    <x v="0"/>
    <s v="C"/>
    <s v="COMPUESTOS"/>
    <x v="12"/>
    <x v="30"/>
    <n v="8"/>
  </r>
  <r>
    <x v="0"/>
    <s v="C"/>
    <s v="COMPUESTOS"/>
    <x v="12"/>
    <x v="31"/>
    <n v="11"/>
  </r>
  <r>
    <x v="0"/>
    <s v="C"/>
    <s v="COMPUESTOS"/>
    <x v="12"/>
    <x v="32"/>
    <n v="4"/>
  </r>
  <r>
    <x v="0"/>
    <s v="C"/>
    <s v="COMPUESTOS"/>
    <x v="13"/>
    <x v="33"/>
    <n v="8"/>
  </r>
  <r>
    <x v="0"/>
    <s v="C"/>
    <s v="COMPUESTOS"/>
    <x v="13"/>
    <x v="34"/>
    <n v="18"/>
  </r>
  <r>
    <x v="0"/>
    <s v="P"/>
    <s v="PLANTAS"/>
    <x v="14"/>
    <x v="35"/>
    <n v="5"/>
  </r>
  <r>
    <x v="0"/>
    <s v="P"/>
    <s v="PLANTAS"/>
    <x v="15"/>
    <x v="36"/>
    <n v="6"/>
  </r>
  <r>
    <x v="0"/>
    <s v="P"/>
    <s v="PLANTAS"/>
    <x v="16"/>
    <x v="37"/>
    <n v="6"/>
  </r>
  <r>
    <x v="0"/>
    <s v="P"/>
    <s v="PLANTAS"/>
    <x v="16"/>
    <x v="38"/>
    <n v="13"/>
  </r>
  <r>
    <x v="0"/>
    <s v="S"/>
    <s v="SIMPLES"/>
    <x v="17"/>
    <x v="39"/>
    <n v="4"/>
  </r>
  <r>
    <x v="0"/>
    <s v="S"/>
    <s v="SIMPLES"/>
    <x v="17"/>
    <x v="40"/>
    <n v="2"/>
  </r>
  <r>
    <x v="0"/>
    <s v="S"/>
    <s v="SIMPLES"/>
    <x v="17"/>
    <x v="41"/>
    <n v="1"/>
  </r>
  <r>
    <x v="0"/>
    <s v="S"/>
    <s v="SIMPLES"/>
    <x v="18"/>
    <x v="42"/>
    <n v="4"/>
  </r>
  <r>
    <x v="0"/>
    <s v="S"/>
    <s v="SIMPLES"/>
    <x v="18"/>
    <x v="43"/>
    <n v="5"/>
  </r>
  <r>
    <x v="0"/>
    <s v="S"/>
    <s v="SIMPLES"/>
    <x v="18"/>
    <x v="44"/>
    <n v="-4"/>
  </r>
  <r>
    <x v="0"/>
    <s v="S"/>
    <s v="SIMPLES"/>
    <x v="19"/>
    <x v="45"/>
    <n v="0"/>
  </r>
  <r>
    <x v="0"/>
    <s v="S"/>
    <s v="SIMPLES"/>
    <x v="20"/>
    <x v="46"/>
    <n v="18"/>
  </r>
  <r>
    <x v="0"/>
    <s v="S"/>
    <s v="SIMPLES"/>
    <x v="20"/>
    <x v="47"/>
    <n v="10"/>
  </r>
  <r>
    <x v="0"/>
    <s v="S"/>
    <s v="SIMPLES"/>
    <x v="20"/>
    <x v="48"/>
    <n v="5"/>
  </r>
  <r>
    <x v="0"/>
    <s v="S"/>
    <s v="SIMPLES"/>
    <x v="20"/>
    <x v="49"/>
    <n v="4"/>
  </r>
  <r>
    <x v="0"/>
    <s v="S"/>
    <s v="SIMPLES"/>
    <x v="21"/>
    <x v="50"/>
    <n v="4"/>
  </r>
  <r>
    <x v="0"/>
    <s v="S"/>
    <s v="SIMPLES"/>
    <x v="21"/>
    <x v="51"/>
    <n v="2"/>
  </r>
  <r>
    <x v="0"/>
    <s v="S"/>
    <s v="SIMPLES"/>
    <x v="21"/>
    <x v="52"/>
    <n v="1"/>
  </r>
  <r>
    <x v="0"/>
    <s v="S"/>
    <s v="SIMPLES"/>
    <x v="21"/>
    <x v="53"/>
    <n v="3"/>
  </r>
  <r>
    <x v="0"/>
    <s v="0"/>
    <s v="PLANTAS"/>
    <x v="22"/>
    <x v="54"/>
    <n v="0"/>
  </r>
  <r>
    <x v="0"/>
    <s v="0"/>
    <s v="PLANTAS"/>
    <x v="22"/>
    <x v="54"/>
    <n v="0"/>
  </r>
  <r>
    <x v="0"/>
    <s v="0"/>
    <s v="PLANTAS"/>
    <x v="22"/>
    <x v="54"/>
    <n v="0"/>
  </r>
  <r>
    <x v="0"/>
    <s v="0"/>
    <s v="PLANTAS"/>
    <x v="22"/>
    <x v="54"/>
    <n v="0"/>
  </r>
  <r>
    <x v="0"/>
    <s v="0"/>
    <s v="PLANTAS"/>
    <x v="22"/>
    <x v="54"/>
    <n v="0"/>
  </r>
  <r>
    <x v="0"/>
    <s v="0"/>
    <s v="PLANTAS"/>
    <x v="22"/>
    <x v="54"/>
    <n v="0"/>
  </r>
  <r>
    <x v="0"/>
    <s v="0"/>
    <s v="PLANTAS"/>
    <x v="22"/>
    <x v="54"/>
    <n v="0"/>
  </r>
  <r>
    <x v="0"/>
    <s v="0"/>
    <s v="PLANTAS"/>
    <x v="22"/>
    <x v="54"/>
    <n v="0"/>
  </r>
  <r>
    <x v="0"/>
    <s v="0"/>
    <s v="PLANTAS"/>
    <x v="22"/>
    <x v="54"/>
    <n v="0"/>
  </r>
  <r>
    <x v="0"/>
    <s v="0"/>
    <s v="PLANTAS"/>
    <x v="22"/>
    <x v="54"/>
    <n v="0"/>
  </r>
  <r>
    <x v="0"/>
    <s v="0"/>
    <s v="PLANTAS"/>
    <x v="22"/>
    <x v="54"/>
    <n v="0"/>
  </r>
  <r>
    <x v="0"/>
    <s v="0"/>
    <s v="PLANTAS"/>
    <x v="22"/>
    <x v="54"/>
    <n v="0"/>
  </r>
  <r>
    <x v="0"/>
    <s v="0"/>
    <s v="PLANTAS"/>
    <x v="22"/>
    <x v="54"/>
    <n v="0"/>
  </r>
  <r>
    <x v="0"/>
    <s v="0"/>
    <s v="PLANTAS"/>
    <x v="22"/>
    <x v="54"/>
    <n v="0"/>
  </r>
  <r>
    <x v="0"/>
    <s v="0"/>
    <s v="PLANTAS"/>
    <x v="22"/>
    <x v="54"/>
    <n v="0"/>
  </r>
  <r>
    <x v="0"/>
    <m/>
    <m/>
    <x v="23"/>
    <x v="55"/>
    <m/>
  </r>
  <r>
    <x v="0"/>
    <m/>
    <m/>
    <x v="23"/>
    <x v="55"/>
    <m/>
  </r>
  <r>
    <x v="0"/>
    <m/>
    <m/>
    <x v="23"/>
    <x v="55"/>
    <m/>
  </r>
  <r>
    <x v="0"/>
    <m/>
    <m/>
    <x v="23"/>
    <x v="55"/>
    <m/>
  </r>
  <r>
    <x v="0"/>
    <m/>
    <m/>
    <x v="23"/>
    <x v="55"/>
    <m/>
  </r>
  <r>
    <x v="0"/>
    <m/>
    <m/>
    <x v="23"/>
    <x v="55"/>
    <m/>
  </r>
  <r>
    <x v="0"/>
    <m/>
    <m/>
    <x v="23"/>
    <x v="55"/>
    <m/>
  </r>
  <r>
    <x v="0"/>
    <m/>
    <m/>
    <x v="23"/>
    <x v="55"/>
    <m/>
  </r>
  <r>
    <x v="0"/>
    <m/>
    <m/>
    <x v="23"/>
    <x v="55"/>
    <m/>
  </r>
  <r>
    <x v="0"/>
    <m/>
    <m/>
    <x v="23"/>
    <x v="55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5">
  <r>
    <x v="0"/>
    <s v="A-Rosas-Colores-30_1"/>
    <n v="25"/>
  </r>
  <r>
    <x v="0"/>
    <s v="A-Rosas-Colores-40_2"/>
    <n v="9"/>
  </r>
  <r>
    <x v="0"/>
    <s v="A-Rosas-Colores-50_3"/>
    <n v="0"/>
  </r>
  <r>
    <x v="0"/>
    <s v="A-Rosas-Colores-60_4"/>
    <n v="4"/>
  </r>
  <r>
    <x v="1"/>
    <s v="A-Rose-Ethiopia-30_1"/>
    <n v="2"/>
  </r>
  <r>
    <x v="1"/>
    <s v="A-Rose-Ethiopia-40_2"/>
    <n v="4"/>
  </r>
  <r>
    <x v="1"/>
    <s v="A-Rose-Ethiopia-50_3"/>
    <n v="4"/>
  </r>
  <r>
    <x v="1"/>
    <s v="A-Rose-Ethiopia-60_4"/>
    <n v="2"/>
  </r>
  <r>
    <x v="2"/>
    <s v="C-AUTHENTIQUE_1"/>
    <n v="2"/>
  </r>
  <r>
    <x v="2"/>
    <s v="C-AUTHENTIQUE_2"/>
    <n v="11"/>
  </r>
  <r>
    <x v="2"/>
    <s v="C-AUTHENTIQUE_3"/>
    <n v="3"/>
  </r>
  <r>
    <x v="3"/>
    <s v="C-BLEU-PARFUME_1"/>
    <n v="8"/>
  </r>
  <r>
    <x v="3"/>
    <s v="C-BLEU-PARFUME_2"/>
    <n v="12"/>
  </r>
  <r>
    <x v="3"/>
    <s v="C-BLEU-PARFUME_3"/>
    <n v="2"/>
  </r>
  <r>
    <x v="4"/>
    <s v="C-DEEP-PURPLE_1"/>
    <n v="5"/>
  </r>
  <r>
    <x v="4"/>
    <s v="C-DEEP-PURPLE_2"/>
    <n v="8"/>
  </r>
  <r>
    <x v="4"/>
    <s v="C-DEEP-PURPLE_3"/>
    <n v="2"/>
  </r>
  <r>
    <x v="5"/>
    <s v="C-GIRASOLES-BQT_1"/>
    <n v="1"/>
  </r>
  <r>
    <x v="6"/>
    <s v="C-Lys_champetre_2"/>
    <n v="7"/>
  </r>
  <r>
    <x v="7"/>
    <s v="C-PASTEL-HIVERS_1"/>
    <n v="10"/>
  </r>
  <r>
    <x v="8"/>
    <s v="C-PIVOINE-PEPS-2026_1"/>
    <n v="2"/>
  </r>
  <r>
    <x v="9"/>
    <s v="C-RAMO_FLORISTA_1"/>
    <n v="12"/>
  </r>
  <r>
    <x v="9"/>
    <s v="C-RAMO_FLORISTA_2"/>
    <n v="19"/>
  </r>
  <r>
    <x v="9"/>
    <s v="C-RAMO_FLORISTA_3"/>
    <n v="0"/>
  </r>
  <r>
    <x v="10"/>
    <s v="C-STATICE-ROMANTICO_1"/>
    <n v="10"/>
  </r>
  <r>
    <x v="10"/>
    <s v="C-STATICE-ROMANTICO_2"/>
    <n v="7"/>
  </r>
  <r>
    <x v="10"/>
    <s v="C-STATICE-ROMANTICO_3"/>
    <n v="0"/>
  </r>
  <r>
    <x v="11"/>
    <s v="C-TOSCANA-PASTEL_1"/>
    <n v="11"/>
  </r>
  <r>
    <x v="11"/>
    <s v="C-TOSCANA-PASTEL_2"/>
    <n v="8"/>
  </r>
  <r>
    <x v="11"/>
    <s v="C-TOSCANA-PASTEL_3"/>
    <n v="0"/>
  </r>
  <r>
    <x v="12"/>
    <s v="C-TOURNESOL_1"/>
    <n v="8"/>
  </r>
  <r>
    <x v="12"/>
    <s v="C-TOURNESOL_2"/>
    <n v="11"/>
  </r>
  <r>
    <x v="12"/>
    <s v="C-TOURNESOL_3"/>
    <n v="4"/>
  </r>
  <r>
    <x v="13"/>
    <s v="C-ZODIAC-CANCER_1"/>
    <n v="8"/>
  </r>
  <r>
    <x v="13"/>
    <s v="C-ZODIAC-CANCER_2"/>
    <n v="18"/>
  </r>
  <r>
    <x v="14"/>
    <s v="P-ANTHURIUM_13cm"/>
    <n v="5"/>
  </r>
  <r>
    <x v="15"/>
    <s v="P-Bonsai_1"/>
    <n v="6"/>
  </r>
  <r>
    <x v="16"/>
    <s v="P-Orquidea_phal_blan_PROD_1"/>
    <n v="6"/>
  </r>
  <r>
    <x v="16"/>
    <s v="P-Orquidea_phal_rose_1"/>
    <n v="13"/>
  </r>
  <r>
    <x v="17"/>
    <s v="S-Alstro_parme_15_1"/>
    <n v="4"/>
  </r>
  <r>
    <x v="17"/>
    <s v="S-Alstro_parme_20_2"/>
    <n v="2"/>
  </r>
  <r>
    <x v="17"/>
    <s v="S-Alstro_parme_25_3"/>
    <n v="1"/>
  </r>
  <r>
    <x v="18"/>
    <s v="S-Lilium-Rosa-06-P_1"/>
    <n v="4"/>
  </r>
  <r>
    <x v="18"/>
    <s v="S-Lilium-Rosa-08-P_2"/>
    <n v="5"/>
  </r>
  <r>
    <x v="18"/>
    <s v="S-Lilium-Rosa-10-P_3"/>
    <n v="-4"/>
  </r>
  <r>
    <x v="19"/>
    <s v="S-Peonia-rosa-12p_2"/>
    <n v="0"/>
  </r>
  <r>
    <x v="20"/>
    <s v="S-Premium-12-18-24-30-roja_1"/>
    <n v="18"/>
  </r>
  <r>
    <x v="20"/>
    <s v="S-Premium-12-18-24-30-roja_2"/>
    <n v="10"/>
  </r>
  <r>
    <x v="20"/>
    <s v="S-Premium-12-18-24-30-roja_3"/>
    <n v="5"/>
  </r>
  <r>
    <x v="20"/>
    <s v="S-Premium-12-18-24-30-roja_4"/>
    <n v="4"/>
  </r>
  <r>
    <x v="21"/>
    <s v="S-R-Blanc-Premi-12-P_1"/>
    <n v="4"/>
  </r>
  <r>
    <x v="21"/>
    <s v="S-R-Blanc-Premi-18-P_2"/>
    <n v="2"/>
  </r>
  <r>
    <x v="21"/>
    <s v="S-R-Blanc-Premi-24-P_3"/>
    <n v="1"/>
  </r>
  <r>
    <x v="21"/>
    <s v="S-R-Blanc-Premi-30-P_4"/>
    <n v="3"/>
  </r>
  <r>
    <x v="22"/>
    <n v="0"/>
    <n v="0"/>
  </r>
  <r>
    <x v="22"/>
    <n v="0"/>
    <n v="0"/>
  </r>
  <r>
    <x v="22"/>
    <n v="0"/>
    <n v="0"/>
  </r>
  <r>
    <x v="22"/>
    <n v="0"/>
    <n v="0"/>
  </r>
  <r>
    <x v="22"/>
    <n v="0"/>
    <n v="0"/>
  </r>
  <r>
    <x v="22"/>
    <n v="0"/>
    <n v="0"/>
  </r>
  <r>
    <x v="22"/>
    <n v="0"/>
    <n v="0"/>
  </r>
  <r>
    <x v="22"/>
    <n v="0"/>
    <n v="0"/>
  </r>
  <r>
    <x v="22"/>
    <n v="0"/>
    <n v="0"/>
  </r>
  <r>
    <x v="22"/>
    <n v="0"/>
    <n v="0"/>
  </r>
  <r>
    <x v="22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5">
  <r>
    <x v="0"/>
    <s v="A-Rosas-Colo"/>
    <s v="A-Rosas-Colores-30_1"/>
    <n v="25"/>
  </r>
  <r>
    <x v="0"/>
    <s v="A-Rosas-Colo"/>
    <s v="A-Rosas-Colores-40_2"/>
    <n v="9"/>
  </r>
  <r>
    <x v="0"/>
    <s v="A-Rosas-Colo"/>
    <s v="A-Rosas-Colores-50_3"/>
    <n v="0"/>
  </r>
  <r>
    <x v="0"/>
    <s v="A-Rosas-Colo"/>
    <s v="A-Rosas-Colores-60_4"/>
    <n v="4"/>
  </r>
  <r>
    <x v="0"/>
    <s v="A-Rose-Ethio"/>
    <s v="A-Rose-Ethiopia-30_1"/>
    <n v="2"/>
  </r>
  <r>
    <x v="0"/>
    <s v="A-Rose-Ethio"/>
    <s v="A-Rose-Ethiopia-40_2"/>
    <n v="4"/>
  </r>
  <r>
    <x v="0"/>
    <s v="A-Rose-Ethio"/>
    <s v="A-Rose-Ethiopia-50_3"/>
    <n v="4"/>
  </r>
  <r>
    <x v="0"/>
    <s v="A-Rose-Ethio"/>
    <s v="A-Rose-Ethiopia-60_4"/>
    <n v="2"/>
  </r>
  <r>
    <x v="1"/>
    <s v="C-AUTHENTIQU"/>
    <s v="C-AUTHENTIQUE_1"/>
    <n v="2"/>
  </r>
  <r>
    <x v="1"/>
    <s v="C-AUTHENTIQU"/>
    <s v="C-AUTHENTIQUE_2"/>
    <n v="11"/>
  </r>
  <r>
    <x v="1"/>
    <s v="C-AUTHENTIQU"/>
    <s v="C-AUTHENTIQUE_3"/>
    <n v="3"/>
  </r>
  <r>
    <x v="1"/>
    <s v="C-BLEU-PARFU"/>
    <s v="C-BLEU-PARFUME_1"/>
    <n v="8"/>
  </r>
  <r>
    <x v="1"/>
    <s v="C-BLEU-PARFU"/>
    <s v="C-BLEU-PARFUME_2"/>
    <n v="12"/>
  </r>
  <r>
    <x v="1"/>
    <s v="C-BLEU-PARFU"/>
    <s v="C-BLEU-PARFUME_3"/>
    <n v="2"/>
  </r>
  <r>
    <x v="1"/>
    <s v="C-DEEP-PURPL"/>
    <s v="C-DEEP-PURPLE_1"/>
    <n v="5"/>
  </r>
  <r>
    <x v="1"/>
    <s v="C-DEEP-PURPL"/>
    <s v="C-DEEP-PURPLE_2"/>
    <n v="8"/>
  </r>
  <r>
    <x v="1"/>
    <s v="C-DEEP-PURPL"/>
    <s v="C-DEEP-PURPLE_3"/>
    <n v="2"/>
  </r>
  <r>
    <x v="1"/>
    <s v="C-GIRASOLES-"/>
    <s v="C-GIRASOLES-BQT_1"/>
    <n v="1"/>
  </r>
  <r>
    <x v="1"/>
    <s v="C-Lys_champe"/>
    <s v="C-Lys_champetre_2"/>
    <n v="7"/>
  </r>
  <r>
    <x v="1"/>
    <s v="C-PASTEL-HIV"/>
    <s v="C-PASTEL-HIVERS_1"/>
    <n v="10"/>
  </r>
  <r>
    <x v="1"/>
    <s v="C-PIVOINE-PE"/>
    <s v="C-PIVOINE-PEPS-2026_1"/>
    <n v="2"/>
  </r>
  <r>
    <x v="1"/>
    <s v="C-RAMO_FLORI"/>
    <s v="C-RAMO_FLORISTA_1"/>
    <n v="12"/>
  </r>
  <r>
    <x v="1"/>
    <s v="C-RAMO_FLORI"/>
    <s v="C-RAMO_FLORISTA_2"/>
    <n v="19"/>
  </r>
  <r>
    <x v="1"/>
    <s v="C-RAMO_FLORI"/>
    <s v="C-RAMO_FLORISTA_3"/>
    <n v="0"/>
  </r>
  <r>
    <x v="1"/>
    <s v="C-STATICE-RO"/>
    <s v="C-STATICE-ROMANTICO_1"/>
    <n v="10"/>
  </r>
  <r>
    <x v="1"/>
    <s v="C-STATICE-RO"/>
    <s v="C-STATICE-ROMANTICO_2"/>
    <n v="7"/>
  </r>
  <r>
    <x v="1"/>
    <s v="C-STATICE-RO"/>
    <s v="C-STATICE-ROMANTICO_3"/>
    <n v="0"/>
  </r>
  <r>
    <x v="1"/>
    <s v="C-TOSCANA-PA"/>
    <s v="C-TOSCANA-PASTEL_1"/>
    <n v="11"/>
  </r>
  <r>
    <x v="1"/>
    <s v="C-TOSCANA-PA"/>
    <s v="C-TOSCANA-PASTEL_2"/>
    <n v="8"/>
  </r>
  <r>
    <x v="1"/>
    <s v="C-TOSCANA-PA"/>
    <s v="C-TOSCANA-PASTEL_3"/>
    <n v="0"/>
  </r>
  <r>
    <x v="1"/>
    <s v="C-TOURNESOL_"/>
    <s v="C-TOURNESOL_1"/>
    <n v="8"/>
  </r>
  <r>
    <x v="1"/>
    <s v="C-TOURNESOL_"/>
    <s v="C-TOURNESOL_2"/>
    <n v="11"/>
  </r>
  <r>
    <x v="1"/>
    <s v="C-TOURNESOL_"/>
    <s v="C-TOURNESOL_3"/>
    <n v="4"/>
  </r>
  <r>
    <x v="1"/>
    <s v="C-ZODIAC-CAN"/>
    <s v="C-ZODIAC-CANCER_1"/>
    <n v="8"/>
  </r>
  <r>
    <x v="1"/>
    <s v="C-ZODIAC-CAN"/>
    <s v="C-ZODIAC-CANCER_2"/>
    <n v="18"/>
  </r>
  <r>
    <x v="2"/>
    <s v="P-ANTHURIUM_"/>
    <s v="P-ANTHURIUM_13cm"/>
    <n v="5"/>
  </r>
  <r>
    <x v="2"/>
    <s v="P-Bonsai_1"/>
    <s v="P-Bonsai_1"/>
    <n v="6"/>
  </r>
  <r>
    <x v="2"/>
    <s v="P-Orquidea_p"/>
    <s v="P-Orquidea_phal_blan_PROD_1"/>
    <n v="6"/>
  </r>
  <r>
    <x v="2"/>
    <s v="P-Orquidea_p"/>
    <s v="P-Orquidea_phal_rose_1"/>
    <n v="13"/>
  </r>
  <r>
    <x v="3"/>
    <s v="S-Alstro_par"/>
    <s v="S-Alstro_parme_15_1"/>
    <n v="4"/>
  </r>
  <r>
    <x v="3"/>
    <s v="S-Alstro_par"/>
    <s v="S-Alstro_parme_20_2"/>
    <n v="2"/>
  </r>
  <r>
    <x v="3"/>
    <s v="S-Alstro_par"/>
    <s v="S-Alstro_parme_25_3"/>
    <n v="1"/>
  </r>
  <r>
    <x v="3"/>
    <s v="S-Lilium-Ros"/>
    <s v="S-Lilium-Rosa-06-P_1"/>
    <n v="4"/>
  </r>
  <r>
    <x v="3"/>
    <s v="S-Lilium-Ros"/>
    <s v="S-Lilium-Rosa-08-P_2"/>
    <n v="5"/>
  </r>
  <r>
    <x v="3"/>
    <s v="S-Lilium-Ros"/>
    <s v="S-Lilium-Rosa-10-P_3"/>
    <n v="-4"/>
  </r>
  <r>
    <x v="3"/>
    <s v="S-Peonia-ros"/>
    <s v="S-Peonia-rosa-12p_2"/>
    <n v="0"/>
  </r>
  <r>
    <x v="3"/>
    <s v="S-Premium-12"/>
    <s v="S-Premium-12-18-24-30-roja_1"/>
    <n v="18"/>
  </r>
  <r>
    <x v="3"/>
    <s v="S-Premium-12"/>
    <s v="S-Premium-12-18-24-30-roja_2"/>
    <n v="10"/>
  </r>
  <r>
    <x v="3"/>
    <s v="S-Premium-12"/>
    <s v="S-Premium-12-18-24-30-roja_3"/>
    <n v="5"/>
  </r>
  <r>
    <x v="3"/>
    <s v="S-Premium-12"/>
    <s v="S-Premium-12-18-24-30-roja_4"/>
    <n v="4"/>
  </r>
  <r>
    <x v="3"/>
    <s v="S-R-Blanc-Pr"/>
    <s v="S-R-Blanc-Premi-12-P_1"/>
    <n v="4"/>
  </r>
  <r>
    <x v="3"/>
    <s v="S-R-Blanc-Pr"/>
    <s v="S-R-Blanc-Premi-18-P_2"/>
    <n v="2"/>
  </r>
  <r>
    <x v="3"/>
    <s v="S-R-Blanc-Pr"/>
    <s v="S-R-Blanc-Premi-24-P_3"/>
    <n v="1"/>
  </r>
  <r>
    <x v="3"/>
    <s v="S-R-Blanc-Pr"/>
    <s v="S-R-Blanc-Premi-30-P_4"/>
    <n v="3"/>
  </r>
  <r>
    <x v="2"/>
    <s v="0"/>
    <n v="0"/>
    <n v="0"/>
  </r>
  <r>
    <x v="2"/>
    <s v="0"/>
    <n v="0"/>
    <n v="0"/>
  </r>
  <r>
    <x v="2"/>
    <s v="0"/>
    <n v="0"/>
    <n v="0"/>
  </r>
  <r>
    <x v="2"/>
    <s v="0"/>
    <n v="0"/>
    <n v="0"/>
  </r>
  <r>
    <x v="2"/>
    <s v="0"/>
    <n v="0"/>
    <n v="0"/>
  </r>
  <r>
    <x v="2"/>
    <s v="0"/>
    <n v="0"/>
    <n v="0"/>
  </r>
  <r>
    <x v="2"/>
    <s v="0"/>
    <n v="0"/>
    <n v="0"/>
  </r>
  <r>
    <x v="2"/>
    <s v="0"/>
    <n v="0"/>
    <n v="0"/>
  </r>
  <r>
    <x v="2"/>
    <s v="0"/>
    <n v="0"/>
    <n v="0"/>
  </r>
  <r>
    <x v="2"/>
    <s v="0"/>
    <n v="0"/>
    <n v="0"/>
  </r>
  <r>
    <x v="2"/>
    <s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39C977-B456-423E-828B-D25D19266CE4}" name="Tabla dinámica4" cacheId="3" dataOnRows="1" applyNumberFormats="0" applyBorderFormats="0" applyFontFormats="0" applyPatternFormats="0" applyAlignmentFormats="0" applyWidthHeightFormats="1" dataCaption="Datos" showError="1" updatedVersion="8" minRefreshableVersion="3" showMemberPropertyTips="0" useAutoFormatting="1" itemPrintTitles="1" mergeItem="1" createdVersion="6" compact="0" compactData="0" gridDropZones="1">
  <location ref="A2:D82" firstHeaderRow="2" firstDataRow="2" firstDataCol="3"/>
  <pivotFields count="6">
    <pivotField axis="axisRow" compact="0" numFmtId="3" outline="0" subtotalTop="0" showAll="0" includeNewItemsInFilter="1">
      <items count="82">
        <item x="0"/>
        <item m="1" x="7"/>
        <item m="1" x="58"/>
        <item m="1" x="63"/>
        <item m="1" x="22"/>
        <item m="1" x="44"/>
        <item m="1" x="9"/>
        <item m="1" x="29"/>
        <item m="1" x="64"/>
        <item m="1" x="70"/>
        <item m="1" x="49"/>
        <item m="1" x="60"/>
        <item m="1" x="68"/>
        <item m="1" x="52"/>
        <item m="1" x="26"/>
        <item m="1" x="16"/>
        <item m="1" x="32"/>
        <item m="1" x="13"/>
        <item m="1" x="30"/>
        <item m="1" x="76"/>
        <item m="1" x="33"/>
        <item m="1" x="69"/>
        <item m="1" x="15"/>
        <item m="1" x="61"/>
        <item m="1" x="23"/>
        <item m="1" x="3"/>
        <item m="1" x="65"/>
        <item m="1" x="43"/>
        <item m="1" x="31"/>
        <item m="1" x="14"/>
        <item m="1" x="35"/>
        <item m="1" x="39"/>
        <item m="1" x="77"/>
        <item m="1" x="80"/>
        <item m="1" x="72"/>
        <item m="1" x="74"/>
        <item m="1" x="37"/>
        <item m="1" x="78"/>
        <item m="1" x="42"/>
        <item m="1" x="36"/>
        <item m="1" x="73"/>
        <item m="1" x="24"/>
        <item m="1" x="20"/>
        <item m="1" x="67"/>
        <item m="1" x="71"/>
        <item m="1" x="28"/>
        <item m="1" x="46"/>
        <item m="1" x="25"/>
        <item m="1" x="53"/>
        <item m="1" x="5"/>
        <item m="1" x="21"/>
        <item m="1" x="4"/>
        <item m="1" x="41"/>
        <item m="1" x="8"/>
        <item m="1" x="50"/>
        <item m="1" x="48"/>
        <item m="1" x="18"/>
        <item m="1" x="62"/>
        <item m="1" x="79"/>
        <item m="1" x="27"/>
        <item m="1" x="2"/>
        <item m="1" x="54"/>
        <item m="1" x="10"/>
        <item m="1" x="40"/>
        <item m="1" x="6"/>
        <item m="1" x="38"/>
        <item m="1" x="56"/>
        <item m="1" x="11"/>
        <item m="1" x="45"/>
        <item m="1" x="57"/>
        <item m="1" x="17"/>
        <item m="1" x="55"/>
        <item m="1" x="51"/>
        <item m="1" x="75"/>
        <item m="1" x="19"/>
        <item m="1" x="12"/>
        <item m="1" x="34"/>
        <item m="1" x="59"/>
        <item m="1" x="66"/>
        <item m="1" x="47"/>
        <item m="1" x="1"/>
        <item t="default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axis="axisRow" compact="0" outline="0" subtotalTop="0" showAll="0" includeNewItemsInFilter="1" sortType="ascending" defaultSubtotal="0">
      <items count="27">
        <item m="1" x="24"/>
        <item m="1" x="26"/>
        <item m="1" x="25"/>
        <item x="2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3"/>
      </items>
    </pivotField>
    <pivotField axis="axisRow" compact="0" subtotalTop="0" showAll="0" includeNewItemsInFilter="1">
      <items count="65">
        <item h="1" x="54"/>
        <item h="1" m="1" x="63"/>
        <item h="1" m="1" x="62"/>
        <item m="1" x="61"/>
        <item m="1" x="60"/>
        <item m="1" x="59"/>
        <item x="55"/>
        <item m="1" x="58"/>
        <item m="1" x="57"/>
        <item m="1" x="5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t="default"/>
      </items>
    </pivotField>
    <pivotField dataField="1" compact="0" outline="0" subtotalTop="0" showAll="0" includeNewItemsInFilter="1"/>
  </pivotFields>
  <rowFields count="3">
    <field x="3"/>
    <field x="0"/>
    <field x="4"/>
  </rowFields>
  <rowItems count="79">
    <i>
      <x v="4"/>
      <x/>
      <x v="10"/>
    </i>
    <i r="2">
      <x v="11"/>
    </i>
    <i r="2">
      <x v="12"/>
    </i>
    <i r="2">
      <x v="13"/>
    </i>
    <i t="default" r="1">
      <x/>
    </i>
    <i>
      <x v="5"/>
      <x/>
      <x v="14"/>
    </i>
    <i r="2">
      <x v="15"/>
    </i>
    <i r="2">
      <x v="16"/>
    </i>
    <i r="2">
      <x v="17"/>
    </i>
    <i t="default" r="1">
      <x/>
    </i>
    <i>
      <x v="6"/>
      <x/>
      <x v="18"/>
    </i>
    <i r="2">
      <x v="19"/>
    </i>
    <i r="2">
      <x v="20"/>
    </i>
    <i t="default" r="1">
      <x/>
    </i>
    <i>
      <x v="7"/>
      <x/>
      <x v="21"/>
    </i>
    <i r="2">
      <x v="22"/>
    </i>
    <i r="2">
      <x v="23"/>
    </i>
    <i t="default" r="1">
      <x/>
    </i>
    <i>
      <x v="8"/>
      <x/>
      <x v="24"/>
    </i>
    <i r="2">
      <x v="25"/>
    </i>
    <i r="2">
      <x v="26"/>
    </i>
    <i t="default" r="1">
      <x/>
    </i>
    <i>
      <x v="9"/>
      <x/>
      <x v="27"/>
    </i>
    <i t="default" r="1">
      <x/>
    </i>
    <i>
      <x v="10"/>
      <x/>
      <x v="28"/>
    </i>
    <i t="default" r="1">
      <x/>
    </i>
    <i>
      <x v="11"/>
      <x/>
      <x v="29"/>
    </i>
    <i t="default" r="1">
      <x/>
    </i>
    <i>
      <x v="12"/>
      <x/>
      <x v="30"/>
    </i>
    <i t="default" r="1">
      <x/>
    </i>
    <i>
      <x v="13"/>
      <x/>
      <x v="31"/>
    </i>
    <i r="2">
      <x v="32"/>
    </i>
    <i r="2">
      <x v="33"/>
    </i>
    <i t="default" r="1">
      <x/>
    </i>
    <i>
      <x v="14"/>
      <x/>
      <x v="34"/>
    </i>
    <i r="2">
      <x v="35"/>
    </i>
    <i r="2">
      <x v="36"/>
    </i>
    <i t="default" r="1">
      <x/>
    </i>
    <i>
      <x v="15"/>
      <x/>
      <x v="37"/>
    </i>
    <i r="2">
      <x v="38"/>
    </i>
    <i r="2">
      <x v="39"/>
    </i>
    <i t="default" r="1">
      <x/>
    </i>
    <i>
      <x v="16"/>
      <x/>
      <x v="40"/>
    </i>
    <i r="2">
      <x v="41"/>
    </i>
    <i r="2">
      <x v="42"/>
    </i>
    <i t="default" r="1">
      <x/>
    </i>
    <i>
      <x v="17"/>
      <x/>
      <x v="43"/>
    </i>
    <i r="2">
      <x v="44"/>
    </i>
    <i t="default" r="1">
      <x/>
    </i>
    <i>
      <x v="18"/>
      <x/>
      <x v="45"/>
    </i>
    <i t="default" r="1">
      <x/>
    </i>
    <i>
      <x v="19"/>
      <x/>
      <x v="46"/>
    </i>
    <i t="default" r="1">
      <x/>
    </i>
    <i>
      <x v="20"/>
      <x/>
      <x v="47"/>
    </i>
    <i r="2">
      <x v="48"/>
    </i>
    <i t="default" r="1">
      <x/>
    </i>
    <i>
      <x v="21"/>
      <x/>
      <x v="49"/>
    </i>
    <i r="2">
      <x v="50"/>
    </i>
    <i r="2">
      <x v="51"/>
    </i>
    <i t="default" r="1">
      <x/>
    </i>
    <i>
      <x v="22"/>
      <x/>
      <x v="52"/>
    </i>
    <i r="2">
      <x v="53"/>
    </i>
    <i r="2">
      <x v="54"/>
    </i>
    <i t="default" r="1">
      <x/>
    </i>
    <i>
      <x v="23"/>
      <x/>
      <x v="55"/>
    </i>
    <i t="default" r="1">
      <x/>
    </i>
    <i>
      <x v="24"/>
      <x/>
      <x v="56"/>
    </i>
    <i r="2">
      <x v="57"/>
    </i>
    <i r="2">
      <x v="58"/>
    </i>
    <i r="2">
      <x v="59"/>
    </i>
    <i t="default" r="1">
      <x/>
    </i>
    <i>
      <x v="25"/>
      <x/>
      <x v="60"/>
    </i>
    <i r="2">
      <x v="61"/>
    </i>
    <i r="2">
      <x v="62"/>
    </i>
    <i r="2">
      <x v="63"/>
    </i>
    <i t="default" r="1">
      <x/>
    </i>
    <i>
      <x v="26"/>
      <x/>
      <x v="6"/>
    </i>
    <i t="default" r="1">
      <x/>
    </i>
    <i t="grand">
      <x/>
    </i>
  </rowItems>
  <colItems count="1">
    <i/>
  </colItems>
  <dataFields count="1">
    <dataField name="Suma de STOCK" fld="5" baseField="0" baseItem="0"/>
  </dataFields>
  <formats count="22">
    <format>
      <pivotArea grandRow="1" outline="0" fieldPosition="0"/>
    </format>
    <format>
      <pivotArea outline="0" fieldPosition="0"/>
    </format>
    <format>
      <pivotArea field="0" type="button" dataOnly="0" labelOnly="1" outline="0" axis="axisRow" fieldPosition="1"/>
    </format>
    <format>
      <pivotArea field="4" type="button" dataOnly="0" labelOnly="1" outline="0" axis="axisRow" fieldPosition="2"/>
    </format>
    <format>
      <pivotArea outline="0" fieldPosition="0"/>
    </format>
    <format>
      <pivotArea field="0" type="button" dataOnly="0" labelOnly="1" outline="0" axis="axisRow" fieldPosition="1"/>
    </format>
    <format>
      <pivotArea field="4" type="button" dataOnly="0" labelOnly="1" outline="0" axis="axisRow" fieldPosition="2"/>
    </format>
    <format>
      <pivotArea grandRow="1" outline="0" fieldPosition="0"/>
    </format>
    <format>
      <pivotArea grandRow="1" outline="0" fieldPosition="0"/>
    </format>
    <format>
      <pivotArea field="4" type="button" dataOnly="0" labelOnly="1" outline="0" axis="axisRow" fieldPosition="2"/>
    </format>
    <format>
      <pivotArea field="4" type="button" dataOnly="0" labelOnly="1" outline="0" axis="axisRow" fieldPosition="2"/>
    </format>
    <format>
      <pivotArea outline="0" fieldPosition="0"/>
    </format>
    <format>
      <pivotArea field="4" type="button" dataOnly="0" labelOnly="1" outline="0" axis="axisRow" fieldPosition="2"/>
    </format>
    <format>
      <pivotArea field="4" type="button" dataOnly="0" labelOnly="1" outline="0" axis="axisRow" fieldPosition="2"/>
    </format>
    <format>
      <pivotArea outline="0" fieldPosition="0"/>
    </format>
    <format>
      <pivotArea type="topRight" dataOnly="0" labelOnly="1" outline="0" fieldPosition="0"/>
    </format>
    <format>
      <pivotArea field="4" type="button" dataOnly="0" labelOnly="1" outline="0" axis="axisRow" fieldPosition="2"/>
    </format>
    <format>
      <pivotArea type="all" dataOnly="0" outline="0" fieldPosition="0"/>
    </format>
    <format dxfId="3">
      <pivotArea type="origin" dataOnly="0" labelOnly="1" outline="0" fieldPosition="0"/>
    </format>
    <format dxfId="2">
      <pivotArea field="3" type="button" dataOnly="0" labelOnly="1" outline="0" axis="axisRow" fieldPosition="0"/>
    </format>
    <format dxfId="1">
      <pivotArea dataOnly="0" labelOnly="1" outline="0" fieldPosition="0">
        <references count="1">
          <reference field="3" count="0"/>
        </references>
      </pivotArea>
    </format>
    <format dxfId="0">
      <pivotArea dataOnly="0" labelOnly="1" grandRow="1" outline="0" fieldPosition="0"/>
    </format>
  </formats>
  <pivotTableStyleInfo name="PivotStyleMedium3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B5942E8-049D-47D6-8674-4662DC2320B5}" name="Tabla dinámica2" cacheId="5" dataOnRows="1" applyNumberFormats="0" applyBorderFormats="0" applyFontFormats="0" applyPatternFormats="0" applyAlignmentFormats="0" applyWidthHeightFormats="1" dataCaption="Datos" updatedVersion="8" minRefreshableVersion="3" showMemberPropertyTips="0" useAutoFormatting="1" itemPrintTitles="1" createdVersion="6" indent="0" compact="0" compactData="0" gridDropZones="1">
  <location ref="AI2:AJ8" firstHeaderRow="2" firstDataRow="2" firstDataCol="1"/>
  <pivotFields count="4">
    <pivotField axis="axisRow" compact="0" outline="0" subtotalTop="0" showAll="0" includeNewItemsInFilter="1">
      <items count="12">
        <item x="1"/>
        <item x="2"/>
        <item x="0"/>
        <item x="3"/>
        <item h="1" m="1" x="4"/>
        <item m="1" x="8"/>
        <item m="1" x="10"/>
        <item m="1" x="9"/>
        <item m="1" x="6"/>
        <item m="1" x="7"/>
        <item m="1" x="5"/>
        <item t="default"/>
      </items>
    </pivotField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a de STOCK" fld="3" baseField="0" baseItem="0"/>
  </dataFields>
  <pivotTableStyleInfo name="PivotStyleDark1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a dinámica1" cacheId="4" dataOnRows="1" applyNumberFormats="0" applyBorderFormats="0" applyFontFormats="0" applyPatternFormats="0" applyAlignmentFormats="0" applyWidthHeightFormats="1" dataCaption="Datos" grandTotalCaption="total" updatedVersion="8" minRefreshableVersion="3" showMemberPropertyTips="0" useAutoFormatting="1" itemPrintTitles="1" createdVersion="6" indent="0" compact="0" compactData="0" gridDropZones="1" fieldListSortAscending="1">
  <location ref="J2:K26" firstHeaderRow="2" firstDataRow="2" firstDataCol="1"/>
  <pivotFields count="3">
    <pivotField name=" " axis="axisRow" compact="0" outline="0" subtotalTop="0" showAll="0" includeNewItemsInFilter="1" sortType="ascending">
      <items count="29">
        <item m="1" x="23"/>
        <item h="1" m="1" x="27"/>
        <item h="1" m="1" x="25"/>
        <item h="1" x="2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h="1" f="1" x="26"/>
        <item h="1" f="1" x="24"/>
        <item x="14"/>
        <item x="15"/>
        <item x="16"/>
        <item x="17"/>
        <item x="18"/>
        <item x="19"/>
        <item x="20"/>
        <item x="21"/>
        <item t="default"/>
      </items>
    </pivotField>
    <pivotField compact="0" outline="0" subtotalTop="0" showAll="0" includeNewItemsInFilter="1"/>
    <pivotField dataField="1" compact="0" outline="0" subtotalTop="0" showAll="0" includeNewItemsInFilter="1"/>
  </pivotFields>
  <rowFields count="1">
    <field x="0"/>
  </rowFields>
  <rowItems count="23"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 t="grand">
      <x/>
    </i>
  </rowItems>
  <colItems count="1">
    <i/>
  </colItems>
  <dataFields count="1">
    <dataField name="Suma de STOCK" fld="2" baseField="0" baseItem="5"/>
  </dataFields>
  <formats count="28">
    <format dxfId="31">
      <pivotArea outline="0" fieldPosition="0">
        <references count="1">
          <reference field="0" count="0" selected="0"/>
        </references>
      </pivotArea>
    </format>
    <format dxfId="30">
      <pivotArea dataOnly="0" labelOnly="1" outline="0" fieldPosition="0">
        <references count="1">
          <reference field="0" count="0"/>
        </references>
      </pivotArea>
    </format>
    <format dxfId="29">
      <pivotArea grandRow="1" outline="0" collapsedLevelsAreSubtotals="1" fieldPosition="0"/>
    </format>
    <format dxfId="28">
      <pivotArea dataOnly="0" labelOnly="1" grandRow="1" outline="0" fieldPosition="0"/>
    </format>
    <format dxfId="27">
      <pivotArea outline="0" collapsedLevelsAreSubtotals="1" fieldPosition="0"/>
    </format>
    <format dxfId="26">
      <pivotArea field="0" type="button" dataOnly="0" labelOnly="1" outline="0" axis="axisRow" fieldPosition="0"/>
    </format>
    <format dxfId="25">
      <pivotArea dataOnly="0" labelOnly="1" outline="0" fieldPosition="0">
        <references count="1">
          <reference field="0" count="0"/>
        </references>
      </pivotArea>
    </format>
    <format dxfId="24">
      <pivotArea dataOnly="0" labelOnly="1" grandRow="1" outline="0" fieldPosition="0"/>
    </format>
    <format dxfId="23">
      <pivotArea type="origin" dataOnly="0" labelOnly="1" outline="0" fieldPosition="0"/>
    </format>
    <format dxfId="22">
      <pivotArea field="0" type="button" dataOnly="0" labelOnly="1" outline="0" axis="axisRow" fieldPosition="0"/>
    </format>
    <format dxfId="21">
      <pivotArea dataOnly="0" labelOnly="1" outline="0" fieldPosition="0">
        <references count="1">
          <reference field="0" count="0"/>
        </references>
      </pivotArea>
    </format>
    <format dxfId="20">
      <pivotArea dataOnly="0" labelOnly="1" grandRow="1" outline="0" fieldPosition="0"/>
    </format>
    <format dxfId="19">
      <pivotArea outline="0" collapsedLevelsAreSubtotals="1" fieldPosition="0"/>
    </format>
    <format dxfId="18">
      <pivotArea field="0" type="button" dataOnly="0" labelOnly="1" outline="0" axis="axisRow" fieldPosition="0"/>
    </format>
    <format dxfId="17">
      <pivotArea dataOnly="0" labelOnly="1" outline="0" fieldPosition="0">
        <references count="1">
          <reference field="0" count="0"/>
        </references>
      </pivotArea>
    </format>
    <format dxfId="16">
      <pivotArea dataOnly="0" labelOnly="1" grandRow="1" outline="0" fieldPosition="0"/>
    </format>
    <format dxfId="15">
      <pivotArea outline="0" collapsedLevelsAreSubtotals="1" fieldPosition="0"/>
    </format>
    <format dxfId="14">
      <pivotArea dataOnly="0" labelOnly="1" outline="0" fieldPosition="0">
        <references count="1">
          <reference field="0" count="0"/>
        </references>
      </pivotArea>
    </format>
    <format dxfId="13">
      <pivotArea dataOnly="0" labelOnly="1" grandRow="1" outline="0" fieldPosition="0"/>
    </format>
    <format dxfId="12">
      <pivotArea grandRow="1" outline="0" collapsedLevelsAreSubtotals="1" fieldPosition="0"/>
    </format>
    <format dxfId="11">
      <pivotArea dataOnly="0" labelOnly="1" grandRow="1" outline="0" fieldPosition="0"/>
    </format>
    <format dxfId="10">
      <pivotArea outline="0" fieldPosition="0">
        <references count="1">
          <reference field="0" count="0" selected="0"/>
        </references>
      </pivotArea>
    </format>
    <format dxfId="9">
      <pivotArea grandRow="1" outline="0" collapsedLevelsAreSubtotals="1" fieldPosition="0"/>
    </format>
    <format dxfId="8">
      <pivotArea field="0" type="button" dataOnly="0" labelOnly="1" outline="0" axis="axisRow" fieldPosition="0"/>
    </format>
    <format dxfId="7">
      <pivotArea outline="0" fieldPosition="0">
        <references count="1">
          <reference field="0" count="0" selected="0"/>
        </references>
      </pivotArea>
    </format>
    <format dxfId="6">
      <pivotArea dataOnly="0" labelOnly="1" outline="0" fieldPosition="0">
        <references count="1">
          <reference field="0" count="0"/>
        </references>
      </pivotArea>
    </format>
    <format dxfId="5">
      <pivotArea grandRow="1" outline="0" collapsedLevelsAreSubtotals="1" fieldPosition="0"/>
    </format>
    <format dxfId="4">
      <pivotArea dataOnly="0" labelOnly="1" grandRow="1" outline="0" fieldPosition="0"/>
    </format>
  </formats>
  <pivotTableStyleInfo name="PivotStyleDark17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9CD2D30-17AE-4751-B1AE-31A3C94D16D1}" name="Tabla1" displayName="Tabla1" ref="A3:C57" totalsRowShown="0">
  <autoFilter ref="A3:C57" xr:uid="{79CD2D30-17AE-4751-B1AE-31A3C94D16D1}"/>
  <tableColumns count="3">
    <tableColumn id="1" xr3:uid="{FDCF84A3-D29A-44A1-A0FE-9D49F516E7E1}" name="Producto Gnra"/>
    <tableColumn id="2" xr3:uid="{F1A5C210-AD93-4811-8268-236F459E266D}" name="Producto"/>
    <tableColumn id="3" xr3:uid="{9A7757B6-34D3-40B6-8191-68B22218D2B3}" name="STOC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0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  <wetp:taskpane dockstate="right" visibility="0" width="350" row="7">
    <wetp:webextensionref xmlns:r="http://schemas.openxmlformats.org/officeDocument/2006/relationships" r:id="rId3"/>
  </wetp:taskpane>
  <wetp:taskpane dockstate="right" visibility="0" width="350" row="7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421ED8D6-166B-4DFE-9CE4-5A724022145D}">
  <we:reference id="wa200009404" version="1.0.0.8" store="es-ES" storeType="OMEX"/>
  <we:alternateReferences>
    <we:reference id="wa200009404" version="1.0.0.8" store="wa200009404" storeType="OMEX"/>
  </we:alternateReferences>
  <we:properties>
    <we:property name="Office.AutoShowTaskpaneWithDocument" value="true"/>
    <we:property name="claude.fileId" value="&quot;d01b3c45-62b4-47e7-ab9e-cc4d46bad7d6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F9D7BF33-B789-44E9-BB49-794BD165A16F}">
  <we:reference id="wa200005502" version="1.0.0.12" store="es-ES" storeType="OMEX"/>
  <we:alternateReferences>
    <we:reference id="wa200005502" version="1.0.0.12" store="wa200005502" storeType="OMEX"/>
  </we:alternateReferences>
  <we:properties>
    <we:property name="docId" value="&quot;KOVUAYlmztynYK-Q2w0yl&quot;"/>
  </we:properties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06BECDDD-56D9-4651-8FF5-729A3A750210}">
  <we:reference id="wa200005271" version="2.6.1.0" store="es-ES" storeType="OMEX"/>
  <we:alternateReferences>
    <we:reference id="wa200005271" version="2.6.1.0" store="wa20000527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4.xml><?xml version="1.0" encoding="utf-8"?>
<we:webextension xmlns:we="http://schemas.microsoft.com/office/webextensions/webextension/2010/11" id="{15D6F363-F7F0-4AED-8E46-5B5F0CE330BD}">
  <we:reference id="wa200010215" version="1.0.0.0" store="es-ES" storeType="OMEX"/>
  <we:alternateReferences>
    <we:reference id="wa200010215" version="1.0.0.0" store="wa200010215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pivotTable" Target="../pivotTables/pivotTable3.xml"/><Relationship Id="rId7" Type="http://schemas.openxmlformats.org/officeDocument/2006/relationships/ctrlProp" Target="../ctrlProps/ctrlProp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59781-C15B-4B2C-9B3E-5ADE666852F1}">
  <sheetPr codeName="Hoja4"/>
  <dimension ref="A1:C57"/>
  <sheetViews>
    <sheetView workbookViewId="0">
      <selection activeCell="A3" sqref="A3:C57"/>
    </sheetView>
  </sheetViews>
  <sheetFormatPr baseColWidth="10" defaultColWidth="11.42578125" defaultRowHeight="12.75" x14ac:dyDescent="0.2"/>
  <cols>
    <col min="1" max="1" width="16.7109375" bestFit="1" customWidth="1"/>
    <col min="2" max="2" width="28.42578125" bestFit="1" customWidth="1"/>
    <col min="3" max="3" width="11.5703125" bestFit="1" customWidth="1"/>
  </cols>
  <sheetData>
    <row r="1" spans="1:3" x14ac:dyDescent="0.2">
      <c r="A1" s="12" t="s">
        <v>0</v>
      </c>
    </row>
    <row r="3" spans="1:3" x14ac:dyDescent="0.2">
      <c r="A3" t="s">
        <v>1</v>
      </c>
      <c r="B3" t="s">
        <v>2</v>
      </c>
      <c r="C3" t="s">
        <v>3</v>
      </c>
    </row>
    <row r="4" spans="1:3" x14ac:dyDescent="0.2">
      <c r="A4" t="s">
        <v>4</v>
      </c>
      <c r="B4" t="s">
        <v>5</v>
      </c>
      <c r="C4">
        <v>4</v>
      </c>
    </row>
    <row r="5" spans="1:3" x14ac:dyDescent="0.2">
      <c r="A5" t="s">
        <v>4</v>
      </c>
      <c r="B5" t="s">
        <v>6</v>
      </c>
      <c r="C5">
        <v>36</v>
      </c>
    </row>
    <row r="6" spans="1:3" x14ac:dyDescent="0.2">
      <c r="A6" t="s">
        <v>4</v>
      </c>
      <c r="B6" t="s">
        <v>7</v>
      </c>
      <c r="C6">
        <v>10</v>
      </c>
    </row>
    <row r="7" spans="1:3" x14ac:dyDescent="0.2">
      <c r="A7" t="s">
        <v>4</v>
      </c>
      <c r="B7" t="s">
        <v>8</v>
      </c>
      <c r="C7">
        <v>1</v>
      </c>
    </row>
    <row r="8" spans="1:3" x14ac:dyDescent="0.2">
      <c r="A8" t="s">
        <v>9</v>
      </c>
      <c r="B8" t="s">
        <v>10</v>
      </c>
      <c r="C8">
        <v>3</v>
      </c>
    </row>
    <row r="9" spans="1:3" x14ac:dyDescent="0.2">
      <c r="A9" t="s">
        <v>9</v>
      </c>
      <c r="B9" t="s">
        <v>11</v>
      </c>
      <c r="C9">
        <v>7</v>
      </c>
    </row>
    <row r="10" spans="1:3" x14ac:dyDescent="0.2">
      <c r="A10" t="s">
        <v>9</v>
      </c>
      <c r="B10" t="s">
        <v>12</v>
      </c>
      <c r="C10">
        <v>1</v>
      </c>
    </row>
    <row r="11" spans="1:3" x14ac:dyDescent="0.2">
      <c r="A11" t="s">
        <v>9</v>
      </c>
      <c r="B11" t="s">
        <v>13</v>
      </c>
      <c r="C11">
        <v>20</v>
      </c>
    </row>
    <row r="12" spans="1:3" x14ac:dyDescent="0.2">
      <c r="A12" t="s">
        <v>14</v>
      </c>
      <c r="B12" t="s">
        <v>15</v>
      </c>
      <c r="C12">
        <v>3</v>
      </c>
    </row>
    <row r="13" spans="1:3" x14ac:dyDescent="0.2">
      <c r="A13" t="s">
        <v>14</v>
      </c>
      <c r="B13" t="s">
        <v>16</v>
      </c>
      <c r="C13">
        <v>4</v>
      </c>
    </row>
    <row r="14" spans="1:3" x14ac:dyDescent="0.2">
      <c r="A14" t="s">
        <v>14</v>
      </c>
      <c r="B14" t="s">
        <v>17</v>
      </c>
      <c r="C14">
        <v>2</v>
      </c>
    </row>
    <row r="15" spans="1:3" x14ac:dyDescent="0.2">
      <c r="A15" t="s">
        <v>14</v>
      </c>
      <c r="B15" t="s">
        <v>18</v>
      </c>
      <c r="C15">
        <v>6</v>
      </c>
    </row>
    <row r="16" spans="1:3" x14ac:dyDescent="0.2">
      <c r="A16" t="s">
        <v>19</v>
      </c>
      <c r="B16" t="s">
        <v>20</v>
      </c>
      <c r="C16">
        <v>15</v>
      </c>
    </row>
    <row r="17" spans="1:3" x14ac:dyDescent="0.2">
      <c r="A17" t="s">
        <v>19</v>
      </c>
      <c r="B17" t="s">
        <v>21</v>
      </c>
      <c r="C17">
        <v>4</v>
      </c>
    </row>
    <row r="18" spans="1:3" x14ac:dyDescent="0.2">
      <c r="A18" t="s">
        <v>22</v>
      </c>
      <c r="B18" t="s">
        <v>23</v>
      </c>
      <c r="C18">
        <v>7</v>
      </c>
    </row>
    <row r="19" spans="1:3" x14ac:dyDescent="0.2">
      <c r="A19" t="s">
        <v>22</v>
      </c>
      <c r="B19" t="s">
        <v>24</v>
      </c>
      <c r="C19">
        <v>3</v>
      </c>
    </row>
    <row r="20" spans="1:3" x14ac:dyDescent="0.2">
      <c r="A20" t="s">
        <v>22</v>
      </c>
      <c r="B20" t="s">
        <v>25</v>
      </c>
      <c r="C20">
        <v>-2</v>
      </c>
    </row>
    <row r="21" spans="1:3" x14ac:dyDescent="0.2">
      <c r="A21" t="s">
        <v>26</v>
      </c>
      <c r="B21" t="s">
        <v>27</v>
      </c>
      <c r="C21">
        <v>3</v>
      </c>
    </row>
    <row r="22" spans="1:3" x14ac:dyDescent="0.2">
      <c r="A22" t="s">
        <v>26</v>
      </c>
      <c r="B22" t="s">
        <v>28</v>
      </c>
      <c r="C22">
        <v>15</v>
      </c>
    </row>
    <row r="23" spans="1:3" x14ac:dyDescent="0.2">
      <c r="A23" t="s">
        <v>26</v>
      </c>
      <c r="B23" t="s">
        <v>29</v>
      </c>
      <c r="C23">
        <v>3</v>
      </c>
    </row>
    <row r="24" spans="1:3" x14ac:dyDescent="0.2">
      <c r="A24" t="s">
        <v>30</v>
      </c>
      <c r="B24" t="s">
        <v>31</v>
      </c>
      <c r="C24">
        <v>7</v>
      </c>
    </row>
    <row r="25" spans="1:3" x14ac:dyDescent="0.2">
      <c r="A25" t="s">
        <v>30</v>
      </c>
      <c r="B25" t="s">
        <v>32</v>
      </c>
      <c r="C25">
        <v>11</v>
      </c>
    </row>
    <row r="26" spans="1:3" x14ac:dyDescent="0.2">
      <c r="A26" t="s">
        <v>30</v>
      </c>
      <c r="B26" t="s">
        <v>33</v>
      </c>
      <c r="C26">
        <v>5</v>
      </c>
    </row>
    <row r="27" spans="1:3" x14ac:dyDescent="0.2">
      <c r="A27" t="s">
        <v>34</v>
      </c>
      <c r="B27" t="s">
        <v>35</v>
      </c>
      <c r="C27">
        <v>5</v>
      </c>
    </row>
    <row r="28" spans="1:3" x14ac:dyDescent="0.2">
      <c r="A28" t="s">
        <v>36</v>
      </c>
      <c r="B28" t="s">
        <v>37</v>
      </c>
      <c r="C28">
        <v>15</v>
      </c>
    </row>
    <row r="29" spans="1:3" x14ac:dyDescent="0.2">
      <c r="A29" t="s">
        <v>36</v>
      </c>
      <c r="B29" t="s">
        <v>38</v>
      </c>
      <c r="C29">
        <v>17</v>
      </c>
    </row>
    <row r="30" spans="1:3" x14ac:dyDescent="0.2">
      <c r="A30" t="s">
        <v>36</v>
      </c>
      <c r="B30" t="s">
        <v>39</v>
      </c>
      <c r="C30">
        <v>5</v>
      </c>
    </row>
    <row r="31" spans="1:3" x14ac:dyDescent="0.2">
      <c r="A31" t="s">
        <v>40</v>
      </c>
      <c r="B31" t="s">
        <v>41</v>
      </c>
      <c r="C31">
        <v>6</v>
      </c>
    </row>
    <row r="32" spans="1:3" x14ac:dyDescent="0.2">
      <c r="A32" t="s">
        <v>40</v>
      </c>
      <c r="B32" t="s">
        <v>42</v>
      </c>
      <c r="C32">
        <v>8</v>
      </c>
    </row>
    <row r="33" spans="1:3" x14ac:dyDescent="0.2">
      <c r="A33" t="s">
        <v>43</v>
      </c>
      <c r="B33" t="s">
        <v>44</v>
      </c>
      <c r="C33">
        <v>15</v>
      </c>
    </row>
    <row r="34" spans="1:3" x14ac:dyDescent="0.2">
      <c r="A34" t="s">
        <v>45</v>
      </c>
      <c r="B34" t="s">
        <v>46</v>
      </c>
      <c r="C34">
        <v>8</v>
      </c>
    </row>
    <row r="35" spans="1:3" x14ac:dyDescent="0.2">
      <c r="A35" t="s">
        <v>45</v>
      </c>
      <c r="B35" t="s">
        <v>47</v>
      </c>
      <c r="C35">
        <v>4</v>
      </c>
    </row>
    <row r="36" spans="1:3" x14ac:dyDescent="0.2">
      <c r="A36" t="s">
        <v>45</v>
      </c>
      <c r="B36" t="s">
        <v>48</v>
      </c>
      <c r="C36">
        <v>0</v>
      </c>
    </row>
    <row r="37" spans="1:3" x14ac:dyDescent="0.2">
      <c r="A37" t="s">
        <v>49</v>
      </c>
      <c r="B37" t="s">
        <v>50</v>
      </c>
      <c r="C37">
        <v>4</v>
      </c>
    </row>
    <row r="38" spans="1:3" x14ac:dyDescent="0.2">
      <c r="A38" t="s">
        <v>49</v>
      </c>
      <c r="B38" t="s">
        <v>51</v>
      </c>
      <c r="C38">
        <v>11</v>
      </c>
    </row>
    <row r="39" spans="1:3" x14ac:dyDescent="0.2">
      <c r="A39" t="s">
        <v>49</v>
      </c>
      <c r="B39" t="s">
        <v>52</v>
      </c>
      <c r="C39">
        <v>2</v>
      </c>
    </row>
    <row r="40" spans="1:3" x14ac:dyDescent="0.2">
      <c r="A40" t="s">
        <v>53</v>
      </c>
      <c r="B40" t="s">
        <v>54</v>
      </c>
      <c r="C40">
        <v>12</v>
      </c>
    </row>
    <row r="41" spans="1:3" x14ac:dyDescent="0.2">
      <c r="A41" t="s">
        <v>55</v>
      </c>
      <c r="B41" t="s">
        <v>56</v>
      </c>
      <c r="C41">
        <v>15</v>
      </c>
    </row>
    <row r="42" spans="1:3" x14ac:dyDescent="0.2">
      <c r="A42" t="s">
        <v>57</v>
      </c>
      <c r="B42" t="s">
        <v>57</v>
      </c>
      <c r="C42">
        <v>8</v>
      </c>
    </row>
    <row r="43" spans="1:3" x14ac:dyDescent="0.2">
      <c r="A43" t="s">
        <v>58</v>
      </c>
      <c r="B43" t="s">
        <v>59</v>
      </c>
      <c r="C43">
        <v>8</v>
      </c>
    </row>
    <row r="44" spans="1:3" x14ac:dyDescent="0.2">
      <c r="A44" t="s">
        <v>58</v>
      </c>
      <c r="B44" t="s">
        <v>60</v>
      </c>
      <c r="C44">
        <v>14</v>
      </c>
    </row>
    <row r="45" spans="1:3" x14ac:dyDescent="0.2">
      <c r="A45" t="s">
        <v>61</v>
      </c>
      <c r="B45" t="s">
        <v>62</v>
      </c>
      <c r="C45">
        <v>1</v>
      </c>
    </row>
    <row r="46" spans="1:3" x14ac:dyDescent="0.2">
      <c r="A46" t="s">
        <v>61</v>
      </c>
      <c r="B46" t="s">
        <v>63</v>
      </c>
      <c r="C46">
        <v>1</v>
      </c>
    </row>
    <row r="47" spans="1:3" x14ac:dyDescent="0.2">
      <c r="A47" t="s">
        <v>61</v>
      </c>
      <c r="B47" t="s">
        <v>64</v>
      </c>
      <c r="C47">
        <v>1</v>
      </c>
    </row>
    <row r="48" spans="1:3" x14ac:dyDescent="0.2">
      <c r="A48" t="s">
        <v>65</v>
      </c>
      <c r="B48" t="s">
        <v>66</v>
      </c>
      <c r="C48">
        <v>5</v>
      </c>
    </row>
    <row r="49" spans="1:3" x14ac:dyDescent="0.2">
      <c r="A49" t="s">
        <v>65</v>
      </c>
      <c r="B49" t="s">
        <v>67</v>
      </c>
      <c r="C49">
        <v>4</v>
      </c>
    </row>
    <row r="50" spans="1:3" x14ac:dyDescent="0.2">
      <c r="A50" t="s">
        <v>65</v>
      </c>
      <c r="B50" t="s">
        <v>68</v>
      </c>
      <c r="C50">
        <v>1</v>
      </c>
    </row>
    <row r="51" spans="1:3" x14ac:dyDescent="0.2">
      <c r="A51" t="s">
        <v>69</v>
      </c>
      <c r="B51" t="s">
        <v>70</v>
      </c>
      <c r="C51">
        <v>4</v>
      </c>
    </row>
    <row r="52" spans="1:3" x14ac:dyDescent="0.2">
      <c r="A52" t="s">
        <v>69</v>
      </c>
      <c r="B52" t="s">
        <v>71</v>
      </c>
      <c r="C52">
        <v>1</v>
      </c>
    </row>
    <row r="53" spans="1:3" x14ac:dyDescent="0.2">
      <c r="A53" t="s">
        <v>69</v>
      </c>
      <c r="B53" t="s">
        <v>72</v>
      </c>
      <c r="C53">
        <v>2</v>
      </c>
    </row>
    <row r="54" spans="1:3" x14ac:dyDescent="0.2">
      <c r="A54" t="s">
        <v>73</v>
      </c>
      <c r="B54" t="s">
        <v>74</v>
      </c>
      <c r="C54">
        <v>6</v>
      </c>
    </row>
    <row r="55" spans="1:3" x14ac:dyDescent="0.2">
      <c r="A55" t="s">
        <v>73</v>
      </c>
      <c r="B55" t="s">
        <v>75</v>
      </c>
      <c r="C55">
        <v>9</v>
      </c>
    </row>
    <row r="56" spans="1:3" x14ac:dyDescent="0.2">
      <c r="A56" t="s">
        <v>73</v>
      </c>
      <c r="B56" t="s">
        <v>76</v>
      </c>
      <c r="C56">
        <v>5</v>
      </c>
    </row>
    <row r="57" spans="1:3" x14ac:dyDescent="0.2">
      <c r="A57" t="s">
        <v>73</v>
      </c>
      <c r="B57" t="s">
        <v>77</v>
      </c>
      <c r="C57">
        <v>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R210"/>
  <sheetViews>
    <sheetView zoomScaleNormal="85" workbookViewId="0">
      <pane ySplit="2" topLeftCell="A3" activePane="bottomLeft" state="frozen"/>
      <selection pane="bottomLeft" activeCell="A3" sqref="A3"/>
    </sheetView>
  </sheetViews>
  <sheetFormatPr baseColWidth="10" defaultColWidth="11.42578125" defaultRowHeight="12.75" x14ac:dyDescent="0.2"/>
  <cols>
    <col min="1" max="1" width="7.85546875" customWidth="1"/>
    <col min="3" max="3" width="30.42578125" customWidth="1"/>
    <col min="4" max="4" width="7.140625" customWidth="1"/>
    <col min="9" max="9" width="11.42578125" customWidth="1"/>
    <col min="10" max="10" width="10" customWidth="1"/>
    <col min="11" max="13" width="11.140625" customWidth="1"/>
    <col min="14" max="15" width="26" customWidth="1"/>
    <col min="16" max="16" width="11.42578125" customWidth="1"/>
    <col min="20" max="20" width="12.28515625" bestFit="1" customWidth="1"/>
  </cols>
  <sheetData>
    <row r="1" spans="1:17" ht="13.5" thickBot="1" x14ac:dyDescent="0.25">
      <c r="B1" s="7">
        <f>+SUM(B3:B60)</f>
        <v>0</v>
      </c>
      <c r="C1" t="s">
        <v>78</v>
      </c>
      <c r="D1">
        <f>+SUM(D3:D60)</f>
        <v>0</v>
      </c>
      <c r="E1" s="5">
        <f>+SUM(E3:E60)</f>
        <v>0</v>
      </c>
      <c r="F1" s="6">
        <f>+SUM(F3:F60)</f>
        <v>0</v>
      </c>
      <c r="G1" s="6">
        <f>+SUM(G3:G60)</f>
        <v>0</v>
      </c>
      <c r="H1" s="6">
        <f>+SUM(H3:H60)</f>
        <v>0</v>
      </c>
      <c r="I1" s="10">
        <f>+E1+F1-G1</f>
        <v>0</v>
      </c>
      <c r="P1" s="9"/>
    </row>
    <row r="2" spans="1:17" ht="25.5" x14ac:dyDescent="0.2">
      <c r="A2" s="2" t="s">
        <v>79</v>
      </c>
      <c r="B2" t="s">
        <v>80</v>
      </c>
      <c r="C2" s="2" t="s">
        <v>81</v>
      </c>
      <c r="D2" s="2" t="s">
        <v>82</v>
      </c>
      <c r="E2" s="2" t="s">
        <v>83</v>
      </c>
      <c r="F2" s="2" t="s">
        <v>84</v>
      </c>
      <c r="G2" s="13" t="s">
        <v>85</v>
      </c>
      <c r="H2" s="8" t="s">
        <v>86</v>
      </c>
      <c r="I2" s="2" t="s">
        <v>87</v>
      </c>
      <c r="J2" s="2"/>
      <c r="K2" s="8" t="s">
        <v>88</v>
      </c>
      <c r="L2" s="8" t="s">
        <v>89</v>
      </c>
      <c r="M2" s="8" t="s">
        <v>90</v>
      </c>
      <c r="N2" s="8" t="s">
        <v>1</v>
      </c>
      <c r="O2" s="8" t="s">
        <v>2</v>
      </c>
      <c r="P2" t="s">
        <v>3</v>
      </c>
      <c r="Q2" t="s">
        <v>91</v>
      </c>
    </row>
    <row r="3" spans="1:17" x14ac:dyDescent="0.2">
      <c r="A3" s="22"/>
      <c r="B3" s="23"/>
      <c r="C3" s="24"/>
      <c r="D3" s="23"/>
      <c r="E3" s="23"/>
      <c r="F3" s="23"/>
      <c r="G3" s="23"/>
      <c r="H3" s="23"/>
      <c r="I3" s="24"/>
      <c r="K3" s="3"/>
      <c r="L3" t="str">
        <f t="shared" ref="L3" si="0">LEFT(O3,1)</f>
        <v>0</v>
      </c>
      <c r="M3" t="str">
        <f t="shared" ref="M3" si="1">IF(L3="A","ROSAS",IF(L3="C","COMPUESTOS",IF(L3="S","SIMPLES","PLANTAS")))</f>
        <v>PLANTAS</v>
      </c>
      <c r="N3" t="str">
        <f t="shared" ref="N3" si="2">MID(O3,1,12)</f>
        <v>0</v>
      </c>
      <c r="O3">
        <f t="shared" ref="O3" si="3">+C3</f>
        <v>0</v>
      </c>
      <c r="P3">
        <f>+D3+E3-F3</f>
        <v>0</v>
      </c>
      <c r="Q3">
        <f>+D3</f>
        <v>0</v>
      </c>
    </row>
    <row r="4" spans="1:17" x14ac:dyDescent="0.2">
      <c r="A4" s="11"/>
      <c r="E4" s="23"/>
      <c r="F4" s="23"/>
      <c r="K4" s="3"/>
      <c r="L4" t="str">
        <f t="shared" ref="L4:L60" si="4">LEFT(O4,1)</f>
        <v>0</v>
      </c>
      <c r="M4" t="str">
        <f t="shared" ref="M4:M60" si="5">IF(L4="A","ROSAS",IF(L4="C","COMPUESTOS",IF(L4="S","SIMPLES","PLANTAS")))</f>
        <v>PLANTAS</v>
      </c>
      <c r="N4" t="str">
        <f t="shared" ref="N4:N60" si="6">MID(O4,1,12)</f>
        <v>0</v>
      </c>
      <c r="O4">
        <f t="shared" ref="O4:O58" si="7">+C4</f>
        <v>0</v>
      </c>
      <c r="P4">
        <f>+D4+E4-F4</f>
        <v>0</v>
      </c>
      <c r="Q4">
        <f>+D4</f>
        <v>0</v>
      </c>
    </row>
    <row r="5" spans="1:17" x14ac:dyDescent="0.2">
      <c r="A5" s="11"/>
      <c r="E5" s="23"/>
      <c r="F5" s="23"/>
      <c r="K5" s="3"/>
      <c r="L5" t="str">
        <f t="shared" si="4"/>
        <v>0</v>
      </c>
      <c r="M5" t="str">
        <f t="shared" si="5"/>
        <v>PLANTAS</v>
      </c>
      <c r="N5" t="str">
        <f t="shared" si="6"/>
        <v>0</v>
      </c>
      <c r="O5">
        <f t="shared" si="7"/>
        <v>0</v>
      </c>
      <c r="P5">
        <f t="shared" ref="P5:P55" si="8">+D5+E5-F5</f>
        <v>0</v>
      </c>
      <c r="Q5">
        <f t="shared" ref="Q5:Q58" si="9">+D5</f>
        <v>0</v>
      </c>
    </row>
    <row r="6" spans="1:17" x14ac:dyDescent="0.2">
      <c r="A6" s="11"/>
      <c r="E6" s="23"/>
      <c r="F6" s="23"/>
      <c r="K6" s="3"/>
      <c r="L6" t="str">
        <f t="shared" si="4"/>
        <v>0</v>
      </c>
      <c r="M6" t="str">
        <f t="shared" si="5"/>
        <v>PLANTAS</v>
      </c>
      <c r="N6" t="str">
        <f t="shared" si="6"/>
        <v>0</v>
      </c>
      <c r="O6">
        <f t="shared" si="7"/>
        <v>0</v>
      </c>
      <c r="P6">
        <f t="shared" si="8"/>
        <v>0</v>
      </c>
      <c r="Q6">
        <f t="shared" si="9"/>
        <v>0</v>
      </c>
    </row>
    <row r="7" spans="1:17" x14ac:dyDescent="0.2">
      <c r="A7" s="11"/>
      <c r="E7" s="23"/>
      <c r="F7" s="23"/>
      <c r="K7" s="3"/>
      <c r="L7" t="str">
        <f t="shared" si="4"/>
        <v>0</v>
      </c>
      <c r="M7" t="str">
        <f t="shared" si="5"/>
        <v>PLANTAS</v>
      </c>
      <c r="N7" t="str">
        <f t="shared" si="6"/>
        <v>0</v>
      </c>
      <c r="O7">
        <f t="shared" si="7"/>
        <v>0</v>
      </c>
      <c r="P7">
        <f t="shared" si="8"/>
        <v>0</v>
      </c>
      <c r="Q7">
        <f t="shared" si="9"/>
        <v>0</v>
      </c>
    </row>
    <row r="8" spans="1:17" x14ac:dyDescent="0.2">
      <c r="A8" s="11"/>
      <c r="E8" s="23"/>
      <c r="F8" s="23"/>
      <c r="K8" s="3"/>
      <c r="L8" t="str">
        <f t="shared" si="4"/>
        <v>0</v>
      </c>
      <c r="M8" t="str">
        <f t="shared" si="5"/>
        <v>PLANTAS</v>
      </c>
      <c r="N8" t="str">
        <f t="shared" si="6"/>
        <v>0</v>
      </c>
      <c r="O8">
        <f t="shared" si="7"/>
        <v>0</v>
      </c>
      <c r="P8">
        <f t="shared" si="8"/>
        <v>0</v>
      </c>
      <c r="Q8">
        <f t="shared" si="9"/>
        <v>0</v>
      </c>
    </row>
    <row r="9" spans="1:17" x14ac:dyDescent="0.2">
      <c r="A9" s="11"/>
      <c r="E9" s="23"/>
      <c r="F9" s="23"/>
      <c r="K9" s="3"/>
      <c r="L9" t="str">
        <f t="shared" si="4"/>
        <v>0</v>
      </c>
      <c r="M9" t="str">
        <f t="shared" si="5"/>
        <v>PLANTAS</v>
      </c>
      <c r="N9" t="str">
        <f t="shared" si="6"/>
        <v>0</v>
      </c>
      <c r="O9">
        <f t="shared" si="7"/>
        <v>0</v>
      </c>
      <c r="P9">
        <f t="shared" si="8"/>
        <v>0</v>
      </c>
      <c r="Q9">
        <f t="shared" si="9"/>
        <v>0</v>
      </c>
    </row>
    <row r="10" spans="1:17" x14ac:dyDescent="0.2">
      <c r="A10" s="11"/>
      <c r="E10" s="23"/>
      <c r="F10" s="23"/>
      <c r="K10" s="3"/>
      <c r="L10" t="str">
        <f>LEFT(O10,1)</f>
        <v>0</v>
      </c>
      <c r="M10" t="str">
        <f>IF(L10="A","ROSAS",IF(L10="C","COMPUESTOS",IF(L10="S","SIMPLES","PLANTAS")))</f>
        <v>PLANTAS</v>
      </c>
      <c r="N10" t="str">
        <f>MID(O10,1,12)</f>
        <v>0</v>
      </c>
      <c r="O10">
        <f>+C10</f>
        <v>0</v>
      </c>
      <c r="P10">
        <f>+D10+E10-F10</f>
        <v>0</v>
      </c>
      <c r="Q10">
        <f>+D10</f>
        <v>0</v>
      </c>
    </row>
    <row r="11" spans="1:17" x14ac:dyDescent="0.2">
      <c r="A11" s="11"/>
      <c r="E11" s="23"/>
      <c r="F11" s="23"/>
      <c r="K11" s="3"/>
      <c r="L11" t="str">
        <f t="shared" si="4"/>
        <v>0</v>
      </c>
      <c r="M11" t="str">
        <f t="shared" si="5"/>
        <v>PLANTAS</v>
      </c>
      <c r="N11" t="str">
        <f t="shared" si="6"/>
        <v>0</v>
      </c>
      <c r="O11">
        <f t="shared" si="7"/>
        <v>0</v>
      </c>
      <c r="P11">
        <f t="shared" si="8"/>
        <v>0</v>
      </c>
      <c r="Q11">
        <f t="shared" si="9"/>
        <v>0</v>
      </c>
    </row>
    <row r="12" spans="1:17" x14ac:dyDescent="0.2">
      <c r="A12" s="11"/>
      <c r="E12" s="23"/>
      <c r="F12" s="23"/>
      <c r="K12" s="3"/>
      <c r="L12" t="str">
        <f>LEFT(O12,1)</f>
        <v>0</v>
      </c>
      <c r="M12" t="str">
        <f>IF(L12="A","ROSAS",IF(L12="C","COMPUESTOS",IF(L12="S","SIMPLES","PLANTAS")))</f>
        <v>PLANTAS</v>
      </c>
      <c r="N12" t="str">
        <f>MID(O12,1,12)</f>
        <v>0</v>
      </c>
      <c r="O12">
        <f>+C12</f>
        <v>0</v>
      </c>
      <c r="P12">
        <f>+D12+E12-F12</f>
        <v>0</v>
      </c>
      <c r="Q12">
        <f>+D12</f>
        <v>0</v>
      </c>
    </row>
    <row r="13" spans="1:17" x14ac:dyDescent="0.2">
      <c r="A13" s="11"/>
      <c r="E13" s="23"/>
      <c r="F13" s="23"/>
      <c r="K13" s="3"/>
      <c r="L13" t="str">
        <f>LEFT(O13,1)</f>
        <v>0</v>
      </c>
      <c r="M13" t="str">
        <f>IF(L13="A","ROSAS",IF(L13="C","COMPUESTOS",IF(L13="S","SIMPLES","PLANTAS")))</f>
        <v>PLANTAS</v>
      </c>
      <c r="N13" t="str">
        <f>MID(O13,1,12)</f>
        <v>0</v>
      </c>
      <c r="O13">
        <f>+C13</f>
        <v>0</v>
      </c>
      <c r="P13">
        <f>+D13+E13-F13</f>
        <v>0</v>
      </c>
      <c r="Q13">
        <f>+D13</f>
        <v>0</v>
      </c>
    </row>
    <row r="14" spans="1:17" x14ac:dyDescent="0.2">
      <c r="A14" s="11"/>
      <c r="E14" s="23"/>
      <c r="F14" s="23"/>
      <c r="K14" s="3"/>
      <c r="L14" t="str">
        <f t="shared" si="4"/>
        <v>0</v>
      </c>
      <c r="M14" t="str">
        <f t="shared" si="5"/>
        <v>PLANTAS</v>
      </c>
      <c r="N14" t="str">
        <f t="shared" si="6"/>
        <v>0</v>
      </c>
      <c r="O14">
        <f t="shared" si="7"/>
        <v>0</v>
      </c>
      <c r="P14">
        <f t="shared" si="8"/>
        <v>0</v>
      </c>
      <c r="Q14">
        <f t="shared" si="9"/>
        <v>0</v>
      </c>
    </row>
    <row r="15" spans="1:17" x14ac:dyDescent="0.2">
      <c r="A15" s="11"/>
      <c r="E15" s="23"/>
      <c r="F15" s="23"/>
      <c r="K15" s="3"/>
      <c r="L15" t="str">
        <f t="shared" si="4"/>
        <v>0</v>
      </c>
      <c r="M15" t="str">
        <f t="shared" si="5"/>
        <v>PLANTAS</v>
      </c>
      <c r="N15" t="str">
        <f t="shared" si="6"/>
        <v>0</v>
      </c>
      <c r="O15">
        <f t="shared" si="7"/>
        <v>0</v>
      </c>
      <c r="P15">
        <f t="shared" si="8"/>
        <v>0</v>
      </c>
      <c r="Q15">
        <f t="shared" si="9"/>
        <v>0</v>
      </c>
    </row>
    <row r="16" spans="1:17" x14ac:dyDescent="0.2">
      <c r="A16" s="11"/>
      <c r="E16" s="23"/>
      <c r="F16" s="23"/>
      <c r="K16" s="3"/>
      <c r="L16" t="str">
        <f t="shared" si="4"/>
        <v>0</v>
      </c>
      <c r="M16" t="str">
        <f t="shared" si="5"/>
        <v>PLANTAS</v>
      </c>
      <c r="N16" t="str">
        <f t="shared" si="6"/>
        <v>0</v>
      </c>
      <c r="O16">
        <f t="shared" si="7"/>
        <v>0</v>
      </c>
      <c r="P16">
        <f>+D16+E16-F16</f>
        <v>0</v>
      </c>
      <c r="Q16">
        <f t="shared" si="9"/>
        <v>0</v>
      </c>
    </row>
    <row r="17" spans="1:17" x14ac:dyDescent="0.2">
      <c r="A17" s="11"/>
      <c r="E17" s="23"/>
      <c r="F17" s="23"/>
      <c r="K17" s="3"/>
      <c r="L17" t="str">
        <f>LEFT(O17,1)</f>
        <v>0</v>
      </c>
      <c r="M17" t="str">
        <f>IF(L17="A","ROSAS",IF(L17="C","COMPUESTOS",IF(L17="S","SIMPLES","PLANTAS")))</f>
        <v>PLANTAS</v>
      </c>
      <c r="N17" t="str">
        <f>MID(O17,1,12)</f>
        <v>0</v>
      </c>
      <c r="O17">
        <f>+C17</f>
        <v>0</v>
      </c>
      <c r="P17">
        <f>+D17+E17-F17</f>
        <v>0</v>
      </c>
      <c r="Q17">
        <f>+D17</f>
        <v>0</v>
      </c>
    </row>
    <row r="18" spans="1:17" x14ac:dyDescent="0.2">
      <c r="A18" s="11"/>
      <c r="E18" s="23"/>
      <c r="F18" s="23"/>
      <c r="K18" s="3"/>
      <c r="L18" t="str">
        <f t="shared" si="4"/>
        <v>0</v>
      </c>
      <c r="M18" t="str">
        <f t="shared" si="5"/>
        <v>PLANTAS</v>
      </c>
      <c r="N18" t="str">
        <f t="shared" si="6"/>
        <v>0</v>
      </c>
      <c r="O18">
        <f t="shared" si="7"/>
        <v>0</v>
      </c>
      <c r="P18">
        <f t="shared" si="8"/>
        <v>0</v>
      </c>
      <c r="Q18">
        <f t="shared" si="9"/>
        <v>0</v>
      </c>
    </row>
    <row r="19" spans="1:17" x14ac:dyDescent="0.2">
      <c r="A19" s="11"/>
      <c r="E19" s="23"/>
      <c r="F19" s="23"/>
      <c r="K19" s="3"/>
      <c r="L19" t="str">
        <f t="shared" si="4"/>
        <v>0</v>
      </c>
      <c r="M19" t="str">
        <f t="shared" si="5"/>
        <v>PLANTAS</v>
      </c>
      <c r="N19" t="str">
        <f t="shared" si="6"/>
        <v>0</v>
      </c>
      <c r="O19">
        <f t="shared" si="7"/>
        <v>0</v>
      </c>
      <c r="P19">
        <f t="shared" si="8"/>
        <v>0</v>
      </c>
      <c r="Q19">
        <f t="shared" si="9"/>
        <v>0</v>
      </c>
    </row>
    <row r="20" spans="1:17" x14ac:dyDescent="0.2">
      <c r="A20" s="11"/>
      <c r="E20" s="23"/>
      <c r="F20" s="23"/>
      <c r="K20" s="3"/>
      <c r="L20" t="str">
        <f t="shared" si="4"/>
        <v>0</v>
      </c>
      <c r="M20" t="str">
        <f t="shared" si="5"/>
        <v>PLANTAS</v>
      </c>
      <c r="N20" t="str">
        <f t="shared" si="6"/>
        <v>0</v>
      </c>
      <c r="O20">
        <f t="shared" si="7"/>
        <v>0</v>
      </c>
      <c r="P20">
        <f t="shared" si="8"/>
        <v>0</v>
      </c>
      <c r="Q20">
        <f t="shared" si="9"/>
        <v>0</v>
      </c>
    </row>
    <row r="21" spans="1:17" x14ac:dyDescent="0.2">
      <c r="A21" s="11"/>
      <c r="E21" s="23"/>
      <c r="F21" s="23"/>
      <c r="K21" s="3"/>
      <c r="L21" t="str">
        <f t="shared" si="4"/>
        <v>0</v>
      </c>
      <c r="M21" t="str">
        <f t="shared" si="5"/>
        <v>PLANTAS</v>
      </c>
      <c r="N21" t="str">
        <f t="shared" si="6"/>
        <v>0</v>
      </c>
      <c r="O21">
        <f t="shared" si="7"/>
        <v>0</v>
      </c>
      <c r="P21">
        <f t="shared" si="8"/>
        <v>0</v>
      </c>
      <c r="Q21">
        <f t="shared" si="9"/>
        <v>0</v>
      </c>
    </row>
    <row r="22" spans="1:17" x14ac:dyDescent="0.2">
      <c r="A22" s="11"/>
      <c r="E22" s="23"/>
      <c r="F22" s="23"/>
      <c r="K22" s="3"/>
      <c r="L22" t="str">
        <f t="shared" si="4"/>
        <v>0</v>
      </c>
      <c r="M22" t="str">
        <f t="shared" si="5"/>
        <v>PLANTAS</v>
      </c>
      <c r="N22" t="str">
        <f t="shared" si="6"/>
        <v>0</v>
      </c>
      <c r="O22">
        <f t="shared" si="7"/>
        <v>0</v>
      </c>
      <c r="P22">
        <f t="shared" si="8"/>
        <v>0</v>
      </c>
      <c r="Q22">
        <f t="shared" si="9"/>
        <v>0</v>
      </c>
    </row>
    <row r="23" spans="1:17" x14ac:dyDescent="0.2">
      <c r="A23" s="11"/>
      <c r="E23" s="23"/>
      <c r="F23" s="23"/>
      <c r="K23" s="3"/>
      <c r="L23" t="str">
        <f t="shared" si="4"/>
        <v>0</v>
      </c>
      <c r="M23" t="str">
        <f t="shared" si="5"/>
        <v>PLANTAS</v>
      </c>
      <c r="N23" t="str">
        <f t="shared" si="6"/>
        <v>0</v>
      </c>
      <c r="O23">
        <f t="shared" si="7"/>
        <v>0</v>
      </c>
      <c r="P23">
        <f t="shared" si="8"/>
        <v>0</v>
      </c>
      <c r="Q23">
        <f t="shared" si="9"/>
        <v>0</v>
      </c>
    </row>
    <row r="24" spans="1:17" x14ac:dyDescent="0.2">
      <c r="A24" s="11"/>
      <c r="E24" s="23"/>
      <c r="F24" s="23"/>
      <c r="K24" s="3"/>
      <c r="L24" t="str">
        <f>LEFT(O24,1)</f>
        <v>0</v>
      </c>
      <c r="M24" t="str">
        <f>IF(L24="A","ROSAS",IF(L24="C","COMPUESTOS",IF(L24="S","SIMPLES","PLANTAS")))</f>
        <v>PLANTAS</v>
      </c>
      <c r="N24" t="str">
        <f>MID(O24,1,12)</f>
        <v>0</v>
      </c>
      <c r="O24">
        <f>+C24</f>
        <v>0</v>
      </c>
      <c r="P24">
        <f>+D24+E24-F24</f>
        <v>0</v>
      </c>
      <c r="Q24">
        <f>+D24</f>
        <v>0</v>
      </c>
    </row>
    <row r="25" spans="1:17" x14ac:dyDescent="0.2">
      <c r="A25" s="11"/>
      <c r="E25" s="23"/>
      <c r="F25" s="23"/>
      <c r="K25" s="3"/>
      <c r="L25" t="str">
        <f t="shared" si="4"/>
        <v>0</v>
      </c>
      <c r="M25" t="str">
        <f t="shared" si="5"/>
        <v>PLANTAS</v>
      </c>
      <c r="N25" t="str">
        <f t="shared" si="6"/>
        <v>0</v>
      </c>
      <c r="O25">
        <f t="shared" si="7"/>
        <v>0</v>
      </c>
      <c r="P25">
        <f>+D25+E25-F25</f>
        <v>0</v>
      </c>
      <c r="Q25">
        <f t="shared" si="9"/>
        <v>0</v>
      </c>
    </row>
    <row r="26" spans="1:17" x14ac:dyDescent="0.2">
      <c r="A26" s="11"/>
      <c r="E26" s="23"/>
      <c r="F26" s="23"/>
      <c r="K26" s="3"/>
      <c r="L26" t="str">
        <f t="shared" si="4"/>
        <v>0</v>
      </c>
      <c r="M26" t="str">
        <f t="shared" si="5"/>
        <v>PLANTAS</v>
      </c>
      <c r="N26" t="str">
        <f t="shared" si="6"/>
        <v>0</v>
      </c>
      <c r="O26">
        <f t="shared" si="7"/>
        <v>0</v>
      </c>
      <c r="P26">
        <f t="shared" si="8"/>
        <v>0</v>
      </c>
      <c r="Q26">
        <f t="shared" si="9"/>
        <v>0</v>
      </c>
    </row>
    <row r="27" spans="1:17" x14ac:dyDescent="0.2">
      <c r="A27" s="11"/>
      <c r="E27" s="23"/>
      <c r="F27" s="23"/>
      <c r="K27" s="3"/>
      <c r="L27" t="str">
        <f t="shared" si="4"/>
        <v>0</v>
      </c>
      <c r="M27" t="str">
        <f t="shared" si="5"/>
        <v>PLANTAS</v>
      </c>
      <c r="N27" t="str">
        <f t="shared" si="6"/>
        <v>0</v>
      </c>
      <c r="O27">
        <f t="shared" si="7"/>
        <v>0</v>
      </c>
      <c r="P27">
        <f t="shared" si="8"/>
        <v>0</v>
      </c>
      <c r="Q27">
        <f t="shared" si="9"/>
        <v>0</v>
      </c>
    </row>
    <row r="28" spans="1:17" x14ac:dyDescent="0.2">
      <c r="A28" s="11"/>
      <c r="E28" s="23"/>
      <c r="F28" s="23"/>
      <c r="K28" s="3"/>
      <c r="L28" t="str">
        <f t="shared" si="4"/>
        <v>0</v>
      </c>
      <c r="M28" t="str">
        <f t="shared" si="5"/>
        <v>PLANTAS</v>
      </c>
      <c r="N28" t="str">
        <f t="shared" si="6"/>
        <v>0</v>
      </c>
      <c r="O28">
        <f t="shared" si="7"/>
        <v>0</v>
      </c>
      <c r="P28">
        <f t="shared" si="8"/>
        <v>0</v>
      </c>
      <c r="Q28">
        <f t="shared" si="9"/>
        <v>0</v>
      </c>
    </row>
    <row r="29" spans="1:17" x14ac:dyDescent="0.2">
      <c r="A29" s="11"/>
      <c r="E29" s="23"/>
      <c r="F29" s="23"/>
      <c r="K29" s="3"/>
      <c r="L29" t="str">
        <f t="shared" si="4"/>
        <v>0</v>
      </c>
      <c r="M29" t="str">
        <f t="shared" si="5"/>
        <v>PLANTAS</v>
      </c>
      <c r="N29" t="str">
        <f t="shared" si="6"/>
        <v>0</v>
      </c>
      <c r="O29">
        <f t="shared" si="7"/>
        <v>0</v>
      </c>
      <c r="P29">
        <f t="shared" si="8"/>
        <v>0</v>
      </c>
      <c r="Q29">
        <f t="shared" si="9"/>
        <v>0</v>
      </c>
    </row>
    <row r="30" spans="1:17" x14ac:dyDescent="0.2">
      <c r="A30" s="11"/>
      <c r="E30" s="23"/>
      <c r="F30" s="23"/>
      <c r="K30" s="3"/>
      <c r="L30" t="str">
        <f t="shared" si="4"/>
        <v>0</v>
      </c>
      <c r="M30" t="str">
        <f t="shared" si="5"/>
        <v>PLANTAS</v>
      </c>
      <c r="N30" t="str">
        <f t="shared" si="6"/>
        <v>0</v>
      </c>
      <c r="O30">
        <f t="shared" si="7"/>
        <v>0</v>
      </c>
      <c r="P30">
        <f t="shared" si="8"/>
        <v>0</v>
      </c>
      <c r="Q30">
        <f t="shared" si="9"/>
        <v>0</v>
      </c>
    </row>
    <row r="31" spans="1:17" x14ac:dyDescent="0.2">
      <c r="A31" s="11"/>
      <c r="E31" s="23"/>
      <c r="F31" s="23"/>
      <c r="K31" s="3"/>
      <c r="L31" t="str">
        <f t="shared" si="4"/>
        <v>0</v>
      </c>
      <c r="M31" t="str">
        <f t="shared" si="5"/>
        <v>PLANTAS</v>
      </c>
      <c r="N31" t="str">
        <f t="shared" si="6"/>
        <v>0</v>
      </c>
      <c r="O31">
        <f t="shared" si="7"/>
        <v>0</v>
      </c>
      <c r="P31">
        <f t="shared" si="8"/>
        <v>0</v>
      </c>
      <c r="Q31">
        <f t="shared" si="9"/>
        <v>0</v>
      </c>
    </row>
    <row r="32" spans="1:17" x14ac:dyDescent="0.2">
      <c r="A32" s="11"/>
      <c r="E32" s="23"/>
      <c r="F32" s="23"/>
      <c r="K32" s="3"/>
      <c r="L32" t="str">
        <f t="shared" si="4"/>
        <v>0</v>
      </c>
      <c r="M32" t="str">
        <f t="shared" si="5"/>
        <v>PLANTAS</v>
      </c>
      <c r="N32" t="str">
        <f t="shared" si="6"/>
        <v>0</v>
      </c>
      <c r="O32">
        <f t="shared" si="7"/>
        <v>0</v>
      </c>
      <c r="P32">
        <f t="shared" si="8"/>
        <v>0</v>
      </c>
      <c r="Q32">
        <f t="shared" si="9"/>
        <v>0</v>
      </c>
    </row>
    <row r="33" spans="1:18" x14ac:dyDescent="0.2">
      <c r="A33" s="11"/>
      <c r="E33" s="23"/>
      <c r="F33" s="23"/>
      <c r="K33" s="3"/>
      <c r="L33" t="str">
        <f t="shared" si="4"/>
        <v>0</v>
      </c>
      <c r="M33" t="str">
        <f t="shared" si="5"/>
        <v>PLANTAS</v>
      </c>
      <c r="N33" t="str">
        <f t="shared" si="6"/>
        <v>0</v>
      </c>
      <c r="O33">
        <f t="shared" si="7"/>
        <v>0</v>
      </c>
      <c r="P33">
        <f t="shared" si="8"/>
        <v>0</v>
      </c>
      <c r="Q33">
        <f t="shared" si="9"/>
        <v>0</v>
      </c>
    </row>
    <row r="34" spans="1:18" x14ac:dyDescent="0.2">
      <c r="A34" s="11"/>
      <c r="E34" s="23"/>
      <c r="F34" s="23"/>
      <c r="K34" s="3"/>
      <c r="L34" t="str">
        <f t="shared" si="4"/>
        <v>0</v>
      </c>
      <c r="M34" t="str">
        <f t="shared" si="5"/>
        <v>PLANTAS</v>
      </c>
      <c r="N34" t="str">
        <f t="shared" si="6"/>
        <v>0</v>
      </c>
      <c r="O34">
        <f t="shared" si="7"/>
        <v>0</v>
      </c>
      <c r="P34">
        <f t="shared" si="8"/>
        <v>0</v>
      </c>
      <c r="Q34">
        <f t="shared" si="9"/>
        <v>0</v>
      </c>
    </row>
    <row r="35" spans="1:18" x14ac:dyDescent="0.2">
      <c r="A35" s="11"/>
      <c r="E35" s="23"/>
      <c r="F35" s="23"/>
      <c r="K35" s="3"/>
      <c r="L35" t="str">
        <f t="shared" si="4"/>
        <v>0</v>
      </c>
      <c r="M35" t="str">
        <f t="shared" si="5"/>
        <v>PLANTAS</v>
      </c>
      <c r="N35" t="str">
        <f t="shared" si="6"/>
        <v>0</v>
      </c>
      <c r="O35">
        <f t="shared" si="7"/>
        <v>0</v>
      </c>
      <c r="P35">
        <f t="shared" si="8"/>
        <v>0</v>
      </c>
      <c r="Q35">
        <f t="shared" si="9"/>
        <v>0</v>
      </c>
    </row>
    <row r="36" spans="1:18" x14ac:dyDescent="0.2">
      <c r="A36" s="11"/>
      <c r="E36" s="23"/>
      <c r="F36" s="23"/>
      <c r="K36" s="3"/>
      <c r="L36" t="str">
        <f t="shared" si="4"/>
        <v>0</v>
      </c>
      <c r="M36" t="str">
        <f t="shared" si="5"/>
        <v>PLANTAS</v>
      </c>
      <c r="N36" t="str">
        <f t="shared" si="6"/>
        <v>0</v>
      </c>
      <c r="O36">
        <f t="shared" si="7"/>
        <v>0</v>
      </c>
      <c r="P36">
        <f t="shared" si="8"/>
        <v>0</v>
      </c>
      <c r="Q36">
        <f t="shared" si="9"/>
        <v>0</v>
      </c>
      <c r="R36" s="9"/>
    </row>
    <row r="37" spans="1:18" x14ac:dyDescent="0.2">
      <c r="A37" s="11"/>
      <c r="E37" s="23"/>
      <c r="F37" s="23"/>
      <c r="K37" s="3"/>
      <c r="L37" t="str">
        <f t="shared" si="4"/>
        <v>0</v>
      </c>
      <c r="M37" t="str">
        <f t="shared" si="5"/>
        <v>PLANTAS</v>
      </c>
      <c r="N37" t="str">
        <f t="shared" si="6"/>
        <v>0</v>
      </c>
      <c r="O37">
        <f t="shared" si="7"/>
        <v>0</v>
      </c>
      <c r="P37">
        <f t="shared" si="8"/>
        <v>0</v>
      </c>
      <c r="Q37">
        <f t="shared" si="9"/>
        <v>0</v>
      </c>
    </row>
    <row r="38" spans="1:18" x14ac:dyDescent="0.2">
      <c r="A38" s="11"/>
      <c r="E38" s="23"/>
      <c r="F38" s="23"/>
      <c r="K38" s="3"/>
      <c r="L38" t="str">
        <f t="shared" si="4"/>
        <v>0</v>
      </c>
      <c r="M38" t="str">
        <f t="shared" si="5"/>
        <v>PLANTAS</v>
      </c>
      <c r="N38" t="str">
        <f t="shared" si="6"/>
        <v>0</v>
      </c>
      <c r="O38">
        <f t="shared" si="7"/>
        <v>0</v>
      </c>
      <c r="P38">
        <f>+D38+E38-F38</f>
        <v>0</v>
      </c>
      <c r="Q38">
        <f t="shared" si="9"/>
        <v>0</v>
      </c>
    </row>
    <row r="39" spans="1:18" x14ac:dyDescent="0.2">
      <c r="A39" s="11"/>
      <c r="E39" s="23"/>
      <c r="F39" s="23"/>
      <c r="K39" s="3"/>
      <c r="L39" t="str">
        <f t="shared" ref="L39" si="10">LEFT(O39,1)</f>
        <v>0</v>
      </c>
      <c r="M39" t="str">
        <f t="shared" ref="M39" si="11">IF(L39="A","ROSAS",IF(L39="C","COMPUESTOS",IF(L39="S","SIMPLES","PLANTAS")))</f>
        <v>PLANTAS</v>
      </c>
      <c r="N39" t="str">
        <f t="shared" ref="N39" si="12">MID(O39,1,12)</f>
        <v>0</v>
      </c>
      <c r="O39">
        <f t="shared" ref="O39" si="13">+C39</f>
        <v>0</v>
      </c>
      <c r="P39">
        <f t="shared" ref="P39" si="14">+D39+E39-F39</f>
        <v>0</v>
      </c>
      <c r="Q39">
        <f t="shared" ref="Q39" si="15">+D39</f>
        <v>0</v>
      </c>
    </row>
    <row r="40" spans="1:18" x14ac:dyDescent="0.2">
      <c r="A40" s="11"/>
      <c r="E40" s="23"/>
      <c r="F40" s="23"/>
      <c r="K40" s="3"/>
      <c r="L40" t="str">
        <f t="shared" si="4"/>
        <v>0</v>
      </c>
      <c r="M40" t="str">
        <f t="shared" si="5"/>
        <v>PLANTAS</v>
      </c>
      <c r="N40" t="str">
        <f t="shared" si="6"/>
        <v>0</v>
      </c>
      <c r="O40">
        <f t="shared" si="7"/>
        <v>0</v>
      </c>
      <c r="P40">
        <f t="shared" si="8"/>
        <v>0</v>
      </c>
      <c r="Q40">
        <f t="shared" si="9"/>
        <v>0</v>
      </c>
    </row>
    <row r="41" spans="1:18" x14ac:dyDescent="0.2">
      <c r="A41" s="11"/>
      <c r="C41" s="17"/>
      <c r="E41" s="23"/>
      <c r="F41" s="23"/>
      <c r="K41" s="3"/>
      <c r="L41" t="str">
        <f t="shared" si="4"/>
        <v>0</v>
      </c>
      <c r="M41" t="str">
        <f t="shared" si="5"/>
        <v>PLANTAS</v>
      </c>
      <c r="N41" t="str">
        <f t="shared" si="6"/>
        <v>0</v>
      </c>
      <c r="O41">
        <f t="shared" si="7"/>
        <v>0</v>
      </c>
      <c r="P41">
        <f t="shared" si="8"/>
        <v>0</v>
      </c>
      <c r="Q41">
        <f t="shared" si="9"/>
        <v>0</v>
      </c>
    </row>
    <row r="42" spans="1:18" x14ac:dyDescent="0.2">
      <c r="A42" s="11"/>
      <c r="C42" s="17"/>
      <c r="E42" s="23"/>
      <c r="F42" s="23"/>
      <c r="K42" s="3"/>
      <c r="L42" t="str">
        <f t="shared" ref="L42" si="16">LEFT(O42,1)</f>
        <v>0</v>
      </c>
      <c r="M42" t="str">
        <f t="shared" ref="M42" si="17">IF(L42="A","ROSAS",IF(L42="C","COMPUESTOS",IF(L42="S","SIMPLES","PLANTAS")))</f>
        <v>PLANTAS</v>
      </c>
      <c r="N42" t="str">
        <f t="shared" ref="N42" si="18">MID(O42,1,12)</f>
        <v>0</v>
      </c>
      <c r="O42">
        <f t="shared" ref="O42" si="19">+C42</f>
        <v>0</v>
      </c>
      <c r="P42">
        <f>+D42+E42-F42</f>
        <v>0</v>
      </c>
      <c r="Q42">
        <f t="shared" ref="Q42" si="20">+D42</f>
        <v>0</v>
      </c>
    </row>
    <row r="43" spans="1:18" x14ac:dyDescent="0.2">
      <c r="A43" s="11"/>
      <c r="E43" s="23"/>
      <c r="F43" s="23"/>
      <c r="K43" s="3"/>
      <c r="L43" t="str">
        <f t="shared" si="4"/>
        <v>0</v>
      </c>
      <c r="M43" t="str">
        <f t="shared" si="5"/>
        <v>PLANTAS</v>
      </c>
      <c r="N43" t="str">
        <f t="shared" si="6"/>
        <v>0</v>
      </c>
      <c r="O43">
        <f t="shared" si="7"/>
        <v>0</v>
      </c>
      <c r="P43">
        <f>+D43+E43-F43</f>
        <v>0</v>
      </c>
      <c r="Q43">
        <f>+D43</f>
        <v>0</v>
      </c>
    </row>
    <row r="44" spans="1:18" x14ac:dyDescent="0.2">
      <c r="A44" s="11"/>
      <c r="E44" s="23"/>
      <c r="F44" s="23"/>
      <c r="K44" s="3"/>
      <c r="L44" t="str">
        <f>LEFT(O44,1)</f>
        <v>0</v>
      </c>
      <c r="M44" t="str">
        <f>IF(L44="A","ROSAS",IF(L44="C","COMPUESTOS",IF(L44="S","SIMPLES","PLANTAS")))</f>
        <v>PLANTAS</v>
      </c>
      <c r="N44" t="str">
        <f>MID(O44,1,12)</f>
        <v>0</v>
      </c>
      <c r="O44">
        <f>+C44</f>
        <v>0</v>
      </c>
      <c r="P44">
        <f>+D44+E44-F44</f>
        <v>0</v>
      </c>
      <c r="Q44">
        <f>+D44</f>
        <v>0</v>
      </c>
    </row>
    <row r="45" spans="1:18" x14ac:dyDescent="0.2">
      <c r="A45" s="11"/>
      <c r="E45" s="23"/>
      <c r="F45" s="23"/>
      <c r="K45" s="3"/>
      <c r="L45" t="str">
        <f t="shared" si="4"/>
        <v>0</v>
      </c>
      <c r="M45" t="str">
        <f t="shared" si="5"/>
        <v>PLANTAS</v>
      </c>
      <c r="N45" t="str">
        <f t="shared" si="6"/>
        <v>0</v>
      </c>
      <c r="O45">
        <f t="shared" si="7"/>
        <v>0</v>
      </c>
      <c r="P45">
        <f t="shared" si="8"/>
        <v>0</v>
      </c>
      <c r="Q45">
        <f t="shared" si="9"/>
        <v>0</v>
      </c>
    </row>
    <row r="46" spans="1:18" x14ac:dyDescent="0.2">
      <c r="A46" s="11"/>
      <c r="E46" s="23"/>
      <c r="F46" s="23"/>
      <c r="K46" s="3"/>
      <c r="L46" t="str">
        <f t="shared" si="4"/>
        <v>0</v>
      </c>
      <c r="M46" t="str">
        <f t="shared" si="5"/>
        <v>PLANTAS</v>
      </c>
      <c r="N46" t="str">
        <f t="shared" si="6"/>
        <v>0</v>
      </c>
      <c r="O46">
        <f t="shared" si="7"/>
        <v>0</v>
      </c>
      <c r="P46">
        <f t="shared" si="8"/>
        <v>0</v>
      </c>
      <c r="Q46">
        <f t="shared" si="9"/>
        <v>0</v>
      </c>
    </row>
    <row r="47" spans="1:18" x14ac:dyDescent="0.2">
      <c r="A47" s="11"/>
      <c r="E47" s="23"/>
      <c r="F47" s="23"/>
      <c r="K47" s="3"/>
      <c r="L47" t="str">
        <f t="shared" si="4"/>
        <v>0</v>
      </c>
      <c r="M47" t="str">
        <f t="shared" si="5"/>
        <v>PLANTAS</v>
      </c>
      <c r="N47" t="str">
        <f t="shared" si="6"/>
        <v>0</v>
      </c>
      <c r="O47">
        <f t="shared" si="7"/>
        <v>0</v>
      </c>
      <c r="P47">
        <f t="shared" si="8"/>
        <v>0</v>
      </c>
      <c r="Q47">
        <f t="shared" si="9"/>
        <v>0</v>
      </c>
    </row>
    <row r="48" spans="1:18" x14ac:dyDescent="0.2">
      <c r="A48" s="11"/>
      <c r="C48" s="17"/>
      <c r="E48" s="23"/>
      <c r="F48" s="23"/>
      <c r="K48" s="3"/>
      <c r="L48" t="str">
        <f t="shared" si="4"/>
        <v>0</v>
      </c>
      <c r="M48" t="str">
        <f t="shared" si="5"/>
        <v>PLANTAS</v>
      </c>
      <c r="N48" t="str">
        <f t="shared" si="6"/>
        <v>0</v>
      </c>
      <c r="O48">
        <f t="shared" si="7"/>
        <v>0</v>
      </c>
      <c r="P48">
        <f t="shared" si="8"/>
        <v>0</v>
      </c>
      <c r="Q48">
        <f t="shared" si="9"/>
        <v>0</v>
      </c>
    </row>
    <row r="49" spans="1:18" x14ac:dyDescent="0.2">
      <c r="A49" s="11"/>
      <c r="E49" s="23"/>
      <c r="F49" s="23"/>
      <c r="K49" s="3"/>
      <c r="L49" t="str">
        <f t="shared" si="4"/>
        <v>0</v>
      </c>
      <c r="M49" t="str">
        <f t="shared" si="5"/>
        <v>PLANTAS</v>
      </c>
      <c r="N49" t="str">
        <f t="shared" si="6"/>
        <v>0</v>
      </c>
      <c r="O49">
        <f t="shared" si="7"/>
        <v>0</v>
      </c>
      <c r="P49">
        <f t="shared" si="8"/>
        <v>0</v>
      </c>
      <c r="Q49">
        <f t="shared" si="9"/>
        <v>0</v>
      </c>
    </row>
    <row r="50" spans="1:18" x14ac:dyDescent="0.2">
      <c r="A50" s="11"/>
      <c r="C50" s="17"/>
      <c r="E50" s="23"/>
      <c r="F50" s="23"/>
      <c r="K50" s="3"/>
      <c r="L50" t="str">
        <f t="shared" ref="L50" si="21">LEFT(O50,1)</f>
        <v>0</v>
      </c>
      <c r="M50" t="str">
        <f t="shared" ref="M50" si="22">IF(L50="A","ROSAS",IF(L50="C","COMPUESTOS",IF(L50="S","SIMPLES","PLANTAS")))</f>
        <v>PLANTAS</v>
      </c>
      <c r="N50" t="str">
        <f t="shared" ref="N50" si="23">MID(O50,1,12)</f>
        <v>0</v>
      </c>
      <c r="O50">
        <f t="shared" ref="O50" si="24">+C50</f>
        <v>0</v>
      </c>
      <c r="P50">
        <f t="shared" ref="P50" si="25">+D50+E50-F50</f>
        <v>0</v>
      </c>
      <c r="Q50">
        <f t="shared" ref="Q50" si="26">+D50</f>
        <v>0</v>
      </c>
    </row>
    <row r="51" spans="1:18" x14ac:dyDescent="0.2">
      <c r="A51" s="11"/>
      <c r="C51" s="17"/>
      <c r="E51" s="23"/>
      <c r="F51" s="23"/>
      <c r="K51" s="3"/>
      <c r="L51" t="str">
        <f t="shared" si="4"/>
        <v>0</v>
      </c>
      <c r="M51" t="str">
        <f t="shared" si="5"/>
        <v>PLANTAS</v>
      </c>
      <c r="N51" t="str">
        <f t="shared" si="6"/>
        <v>0</v>
      </c>
      <c r="O51">
        <f t="shared" si="7"/>
        <v>0</v>
      </c>
      <c r="P51">
        <f t="shared" si="8"/>
        <v>0</v>
      </c>
      <c r="Q51">
        <f t="shared" si="9"/>
        <v>0</v>
      </c>
    </row>
    <row r="52" spans="1:18" x14ac:dyDescent="0.2">
      <c r="A52" s="11"/>
      <c r="C52" s="17"/>
      <c r="E52" s="23"/>
      <c r="F52" s="23"/>
      <c r="K52" s="3"/>
      <c r="L52" t="str">
        <f t="shared" ref="L52" si="27">LEFT(O52,1)</f>
        <v>0</v>
      </c>
      <c r="M52" t="str">
        <f t="shared" ref="M52" si="28">IF(L52="A","ROSAS",IF(L52="C","COMPUESTOS",IF(L52="S","SIMPLES","PLANTAS")))</f>
        <v>PLANTAS</v>
      </c>
      <c r="N52" t="str">
        <f t="shared" ref="N52" si="29">MID(O52,1,12)</f>
        <v>0</v>
      </c>
      <c r="O52">
        <f t="shared" ref="O52" si="30">+C52</f>
        <v>0</v>
      </c>
      <c r="P52">
        <f t="shared" ref="P52" si="31">+D52+E52-F52</f>
        <v>0</v>
      </c>
      <c r="Q52">
        <f t="shared" ref="Q52" si="32">+D52</f>
        <v>0</v>
      </c>
    </row>
    <row r="53" spans="1:18" x14ac:dyDescent="0.2">
      <c r="A53" s="11"/>
      <c r="E53" s="23"/>
      <c r="F53" s="23"/>
      <c r="K53" s="3"/>
      <c r="L53" t="str">
        <f t="shared" si="4"/>
        <v>0</v>
      </c>
      <c r="M53" t="str">
        <f t="shared" si="5"/>
        <v>PLANTAS</v>
      </c>
      <c r="N53" t="str">
        <f t="shared" si="6"/>
        <v>0</v>
      </c>
      <c r="O53">
        <f t="shared" si="7"/>
        <v>0</v>
      </c>
      <c r="P53">
        <f t="shared" si="8"/>
        <v>0</v>
      </c>
      <c r="Q53">
        <f t="shared" si="9"/>
        <v>0</v>
      </c>
    </row>
    <row r="54" spans="1:18" x14ac:dyDescent="0.2">
      <c r="A54" s="11"/>
      <c r="C54" s="17"/>
      <c r="E54" s="23"/>
      <c r="F54" s="23"/>
      <c r="K54" s="3"/>
      <c r="L54" t="str">
        <f t="shared" ref="L54" si="33">LEFT(O54,1)</f>
        <v>0</v>
      </c>
      <c r="M54" t="str">
        <f t="shared" ref="M54" si="34">IF(L54="A","ROSAS",IF(L54="C","COMPUESTOS",IF(L54="S","SIMPLES","PLANTAS")))</f>
        <v>PLANTAS</v>
      </c>
      <c r="N54" t="str">
        <f t="shared" ref="N54" si="35">MID(O54,1,12)</f>
        <v>0</v>
      </c>
      <c r="O54">
        <f t="shared" ref="O54" si="36">+C54</f>
        <v>0</v>
      </c>
      <c r="P54">
        <f t="shared" ref="P54" si="37">+D54+E54-F54</f>
        <v>0</v>
      </c>
      <c r="Q54">
        <f t="shared" ref="Q54" si="38">+D54</f>
        <v>0</v>
      </c>
    </row>
    <row r="55" spans="1:18" x14ac:dyDescent="0.2">
      <c r="A55" s="11"/>
      <c r="E55" s="23"/>
      <c r="F55" s="23"/>
      <c r="K55" s="3"/>
      <c r="L55" t="str">
        <f t="shared" si="4"/>
        <v>0</v>
      </c>
      <c r="M55" t="str">
        <f t="shared" si="5"/>
        <v>PLANTAS</v>
      </c>
      <c r="N55" t="str">
        <f t="shared" si="6"/>
        <v>0</v>
      </c>
      <c r="O55">
        <f t="shared" si="7"/>
        <v>0</v>
      </c>
      <c r="P55">
        <f t="shared" si="8"/>
        <v>0</v>
      </c>
      <c r="Q55">
        <f t="shared" si="9"/>
        <v>0</v>
      </c>
    </row>
    <row r="56" spans="1:18" x14ac:dyDescent="0.2">
      <c r="A56" s="11"/>
      <c r="C56" s="17"/>
      <c r="E56" s="23"/>
      <c r="F56" s="23"/>
      <c r="K56" s="3"/>
      <c r="L56" t="str">
        <f t="shared" ref="L56" si="39">LEFT(O56,1)</f>
        <v>0</v>
      </c>
      <c r="M56" t="str">
        <f t="shared" ref="M56" si="40">IF(L56="A","ROSAS",IF(L56="C","COMPUESTOS",IF(L56="S","SIMPLES","PLANTAS")))</f>
        <v>PLANTAS</v>
      </c>
      <c r="N56" t="str">
        <f t="shared" ref="N56" si="41">MID(O56,1,12)</f>
        <v>0</v>
      </c>
      <c r="O56">
        <f t="shared" ref="O56" si="42">+C56</f>
        <v>0</v>
      </c>
      <c r="P56">
        <f t="shared" ref="P56" si="43">+D56+E56-F56</f>
        <v>0</v>
      </c>
      <c r="Q56">
        <f t="shared" ref="Q56" si="44">+D56</f>
        <v>0</v>
      </c>
    </row>
    <row r="57" spans="1:18" x14ac:dyDescent="0.2">
      <c r="A57" s="11"/>
      <c r="C57" s="17"/>
      <c r="E57" s="23"/>
      <c r="F57" s="23"/>
      <c r="K57" s="3"/>
      <c r="L57" t="str">
        <f t="shared" ref="L57" si="45">LEFT(O57,1)</f>
        <v>0</v>
      </c>
      <c r="M57" t="str">
        <f t="shared" ref="M57" si="46">IF(L57="A","ROSAS",IF(L57="C","COMPUESTOS",IF(L57="S","SIMPLES","PLANTAS")))</f>
        <v>PLANTAS</v>
      </c>
      <c r="N57" t="str">
        <f t="shared" ref="N57" si="47">MID(O57,1,12)</f>
        <v>0</v>
      </c>
      <c r="O57">
        <f t="shared" ref="O57" si="48">+C57</f>
        <v>0</v>
      </c>
      <c r="P57">
        <f t="shared" ref="P57" si="49">+D57+E57-F57</f>
        <v>0</v>
      </c>
      <c r="Q57">
        <f t="shared" ref="Q57" si="50">+D57</f>
        <v>0</v>
      </c>
    </row>
    <row r="58" spans="1:18" x14ac:dyDescent="0.2">
      <c r="A58" s="11"/>
      <c r="C58" s="17"/>
      <c r="E58" s="23"/>
      <c r="F58" s="23"/>
      <c r="K58" s="3"/>
      <c r="L58" t="str">
        <f t="shared" si="4"/>
        <v>0</v>
      </c>
      <c r="M58" t="str">
        <f t="shared" si="5"/>
        <v>PLANTAS</v>
      </c>
      <c r="N58" t="str">
        <f t="shared" si="6"/>
        <v>0</v>
      </c>
      <c r="O58">
        <f t="shared" si="7"/>
        <v>0</v>
      </c>
      <c r="P58">
        <f t="shared" ref="P58:P68" si="51">+D58+E58-F58</f>
        <v>0</v>
      </c>
      <c r="Q58">
        <f t="shared" si="9"/>
        <v>0</v>
      </c>
    </row>
    <row r="59" spans="1:18" x14ac:dyDescent="0.2">
      <c r="A59" s="11"/>
      <c r="E59" s="23"/>
      <c r="F59" s="23"/>
      <c r="K59" s="11"/>
      <c r="L59" t="str">
        <f t="shared" si="4"/>
        <v>0</v>
      </c>
      <c r="M59" t="str">
        <f t="shared" si="5"/>
        <v>PLANTAS</v>
      </c>
      <c r="N59" t="str">
        <f t="shared" si="6"/>
        <v>0</v>
      </c>
      <c r="O59">
        <f t="shared" ref="O59:O68" si="52">+C59</f>
        <v>0</v>
      </c>
      <c r="P59">
        <f t="shared" si="51"/>
        <v>0</v>
      </c>
      <c r="Q59">
        <f t="shared" ref="Q59:Q68" si="53">+D59</f>
        <v>0</v>
      </c>
      <c r="R59" s="9"/>
    </row>
    <row r="60" spans="1:18" x14ac:dyDescent="0.2">
      <c r="A60" s="11"/>
      <c r="E60" s="23"/>
      <c r="F60" s="37"/>
      <c r="K60" s="11"/>
      <c r="L60" t="str">
        <f t="shared" si="4"/>
        <v>0</v>
      </c>
      <c r="M60" t="str">
        <f t="shared" si="5"/>
        <v>PLANTAS</v>
      </c>
      <c r="N60" t="str">
        <f t="shared" si="6"/>
        <v>0</v>
      </c>
      <c r="O60">
        <f t="shared" si="52"/>
        <v>0</v>
      </c>
      <c r="P60">
        <f t="shared" si="51"/>
        <v>0</v>
      </c>
      <c r="Q60">
        <f t="shared" si="53"/>
        <v>0</v>
      </c>
    </row>
    <row r="61" spans="1:18" x14ac:dyDescent="0.2">
      <c r="A61" s="11"/>
      <c r="E61" s="11"/>
      <c r="F61" s="16"/>
      <c r="K61" s="11"/>
      <c r="L61" t="str">
        <f t="shared" ref="L61:L71" si="54">LEFT(O61,1)</f>
        <v>0</v>
      </c>
      <c r="M61" t="str">
        <f t="shared" ref="M61:M71" si="55">IF(L61="A","ROSAS",IF(L61="C","COMPUESTOS",IF(L61="S","SIMPLES","PLANTAS")))</f>
        <v>PLANTAS</v>
      </c>
      <c r="N61" t="str">
        <f t="shared" ref="N61:N71" si="56">MID(O61,1,12)</f>
        <v>0</v>
      </c>
      <c r="O61">
        <f t="shared" si="52"/>
        <v>0</v>
      </c>
      <c r="P61">
        <f t="shared" si="51"/>
        <v>0</v>
      </c>
      <c r="Q61">
        <f t="shared" si="53"/>
        <v>0</v>
      </c>
    </row>
    <row r="62" spans="1:18" x14ac:dyDescent="0.2">
      <c r="A62" s="11"/>
      <c r="E62" s="11"/>
      <c r="F62" s="16"/>
      <c r="K62" s="11"/>
      <c r="L62" t="str">
        <f t="shared" si="54"/>
        <v>0</v>
      </c>
      <c r="M62" t="str">
        <f t="shared" si="55"/>
        <v>PLANTAS</v>
      </c>
      <c r="N62" t="str">
        <f t="shared" si="56"/>
        <v>0</v>
      </c>
      <c r="O62">
        <f t="shared" si="52"/>
        <v>0</v>
      </c>
      <c r="P62">
        <f t="shared" si="51"/>
        <v>0</v>
      </c>
      <c r="Q62">
        <f t="shared" si="53"/>
        <v>0</v>
      </c>
      <c r="R62" s="9"/>
    </row>
    <row r="63" spans="1:18" x14ac:dyDescent="0.2">
      <c r="A63" s="11"/>
      <c r="E63" s="11"/>
      <c r="F63" s="16"/>
      <c r="K63" s="11"/>
      <c r="L63" t="str">
        <f t="shared" si="54"/>
        <v>0</v>
      </c>
      <c r="M63" t="str">
        <f t="shared" si="55"/>
        <v>PLANTAS</v>
      </c>
      <c r="N63" t="str">
        <f t="shared" si="56"/>
        <v>0</v>
      </c>
      <c r="O63">
        <f t="shared" si="52"/>
        <v>0</v>
      </c>
      <c r="P63">
        <f t="shared" si="51"/>
        <v>0</v>
      </c>
      <c r="Q63">
        <f t="shared" si="53"/>
        <v>0</v>
      </c>
    </row>
    <row r="64" spans="1:18" x14ac:dyDescent="0.2">
      <c r="A64" s="11"/>
      <c r="E64" s="21"/>
      <c r="F64" s="16"/>
      <c r="L64" t="str">
        <f t="shared" si="54"/>
        <v>0</v>
      </c>
      <c r="M64" t="str">
        <f t="shared" si="55"/>
        <v>PLANTAS</v>
      </c>
      <c r="N64" t="str">
        <f t="shared" si="56"/>
        <v>0</v>
      </c>
      <c r="O64">
        <f t="shared" si="52"/>
        <v>0</v>
      </c>
      <c r="P64">
        <f t="shared" si="51"/>
        <v>0</v>
      </c>
      <c r="Q64">
        <f t="shared" si="53"/>
        <v>0</v>
      </c>
    </row>
    <row r="65" spans="1:17" x14ac:dyDescent="0.2">
      <c r="A65" s="11"/>
      <c r="E65" s="21"/>
      <c r="F65" s="16"/>
      <c r="L65" t="str">
        <f t="shared" si="54"/>
        <v>0</v>
      </c>
      <c r="M65" t="str">
        <f t="shared" si="55"/>
        <v>PLANTAS</v>
      </c>
      <c r="N65" t="str">
        <f t="shared" si="56"/>
        <v>0</v>
      </c>
      <c r="O65">
        <f t="shared" si="52"/>
        <v>0</v>
      </c>
      <c r="P65">
        <f t="shared" si="51"/>
        <v>0</v>
      </c>
      <c r="Q65">
        <f t="shared" si="53"/>
        <v>0</v>
      </c>
    </row>
    <row r="66" spans="1:17" x14ac:dyDescent="0.2">
      <c r="A66" s="11"/>
      <c r="E66" s="11"/>
      <c r="F66" s="16"/>
      <c r="L66" t="str">
        <f t="shared" si="54"/>
        <v>0</v>
      </c>
      <c r="M66" t="str">
        <f t="shared" si="55"/>
        <v>PLANTAS</v>
      </c>
      <c r="N66" t="str">
        <f t="shared" si="56"/>
        <v>0</v>
      </c>
      <c r="O66">
        <f t="shared" si="52"/>
        <v>0</v>
      </c>
      <c r="P66">
        <f t="shared" si="51"/>
        <v>0</v>
      </c>
      <c r="Q66">
        <f t="shared" si="53"/>
        <v>0</v>
      </c>
    </row>
    <row r="67" spans="1:17" x14ac:dyDescent="0.2">
      <c r="A67" s="11"/>
      <c r="E67" s="21"/>
      <c r="F67" s="16"/>
      <c r="L67" t="str">
        <f t="shared" si="54"/>
        <v>0</v>
      </c>
      <c r="M67" t="str">
        <f t="shared" si="55"/>
        <v>PLANTAS</v>
      </c>
      <c r="N67" t="str">
        <f t="shared" si="56"/>
        <v>0</v>
      </c>
      <c r="O67">
        <f t="shared" si="52"/>
        <v>0</v>
      </c>
      <c r="P67">
        <f t="shared" si="51"/>
        <v>0</v>
      </c>
      <c r="Q67">
        <f t="shared" si="53"/>
        <v>0</v>
      </c>
    </row>
    <row r="68" spans="1:17" x14ac:dyDescent="0.2">
      <c r="A68" s="11"/>
      <c r="E68" s="21"/>
      <c r="F68" s="16"/>
      <c r="L68" t="str">
        <f>LEFT(O68,1)</f>
        <v>0</v>
      </c>
      <c r="M68" t="str">
        <f t="shared" si="55"/>
        <v>PLANTAS</v>
      </c>
      <c r="N68" t="str">
        <f t="shared" si="56"/>
        <v>0</v>
      </c>
      <c r="O68">
        <f t="shared" si="52"/>
        <v>0</v>
      </c>
      <c r="P68">
        <f t="shared" si="51"/>
        <v>0</v>
      </c>
      <c r="Q68">
        <f t="shared" si="53"/>
        <v>0</v>
      </c>
    </row>
    <row r="69" spans="1:17" x14ac:dyDescent="0.2">
      <c r="A69" s="11"/>
      <c r="E69" s="21"/>
      <c r="F69" s="16"/>
      <c r="L69" t="str">
        <f t="shared" si="54"/>
        <v>0</v>
      </c>
      <c r="M69" t="str">
        <f t="shared" si="55"/>
        <v>PLANTAS</v>
      </c>
      <c r="N69" t="str">
        <f t="shared" si="56"/>
        <v>0</v>
      </c>
      <c r="O69">
        <f>+C68</f>
        <v>0</v>
      </c>
      <c r="P69">
        <f>+D68+E68-F68</f>
        <v>0</v>
      </c>
      <c r="Q69">
        <f>+D68</f>
        <v>0</v>
      </c>
    </row>
    <row r="70" spans="1:17" x14ac:dyDescent="0.2">
      <c r="A70" s="11"/>
      <c r="E70" s="21"/>
      <c r="F70" s="16"/>
      <c r="L70" t="str">
        <f t="shared" si="54"/>
        <v>0</v>
      </c>
      <c r="M70" t="str">
        <f t="shared" si="55"/>
        <v>PLANTAS</v>
      </c>
      <c r="N70" t="str">
        <f t="shared" si="56"/>
        <v>0</v>
      </c>
      <c r="O70">
        <f>+C69</f>
        <v>0</v>
      </c>
      <c r="P70">
        <f>+D69+E69-F69</f>
        <v>0</v>
      </c>
      <c r="Q70">
        <f>+D69</f>
        <v>0</v>
      </c>
    </row>
    <row r="71" spans="1:17" x14ac:dyDescent="0.2">
      <c r="A71" s="11"/>
      <c r="E71" s="21"/>
      <c r="F71" s="16"/>
      <c r="L71" t="str">
        <f t="shared" si="54"/>
        <v>0</v>
      </c>
      <c r="M71" t="str">
        <f t="shared" si="55"/>
        <v>PLANTAS</v>
      </c>
      <c r="N71" t="str">
        <f t="shared" si="56"/>
        <v>0</v>
      </c>
      <c r="O71">
        <f>+C70</f>
        <v>0</v>
      </c>
      <c r="P71">
        <f>+D70+E70-F70</f>
        <v>0</v>
      </c>
      <c r="Q71">
        <f>+D70</f>
        <v>0</v>
      </c>
    </row>
    <row r="72" spans="1:17" x14ac:dyDescent="0.2">
      <c r="A72" s="11"/>
      <c r="E72" s="21"/>
      <c r="F72" s="16"/>
    </row>
    <row r="73" spans="1:17" x14ac:dyDescent="0.2">
      <c r="A73" s="11"/>
      <c r="E73" s="21"/>
      <c r="F73" s="16"/>
    </row>
    <row r="74" spans="1:17" x14ac:dyDescent="0.2">
      <c r="A74" s="11"/>
      <c r="E74" s="21"/>
      <c r="F74" s="16"/>
    </row>
    <row r="75" spans="1:17" x14ac:dyDescent="0.2">
      <c r="A75" s="11"/>
      <c r="E75" s="21"/>
      <c r="F75" s="16"/>
    </row>
    <row r="76" spans="1:17" x14ac:dyDescent="0.2">
      <c r="A76" s="11"/>
      <c r="E76" s="21"/>
      <c r="F76" s="21"/>
    </row>
    <row r="77" spans="1:17" x14ac:dyDescent="0.2">
      <c r="A77">
        <v>49.399000000000001</v>
      </c>
      <c r="B77">
        <v>1</v>
      </c>
      <c r="C77" t="s">
        <v>177</v>
      </c>
      <c r="E77">
        <v>327</v>
      </c>
      <c r="F77">
        <v>1</v>
      </c>
      <c r="I77" t="s">
        <v>178</v>
      </c>
    </row>
    <row r="78" spans="1:17" x14ac:dyDescent="0.2">
      <c r="A78" s="3">
        <v>16.288</v>
      </c>
      <c r="B78">
        <v>1</v>
      </c>
      <c r="C78" t="s">
        <v>170</v>
      </c>
      <c r="E78" s="21">
        <v>216</v>
      </c>
      <c r="F78" s="21">
        <v>3</v>
      </c>
      <c r="I78" t="s">
        <v>171</v>
      </c>
    </row>
    <row r="79" spans="1:17" x14ac:dyDescent="0.2">
      <c r="A79" s="3">
        <v>34.200000000000003</v>
      </c>
      <c r="B79">
        <v>1</v>
      </c>
      <c r="C79" t="s">
        <v>157</v>
      </c>
      <c r="E79" s="21">
        <v>4</v>
      </c>
      <c r="F79" s="21"/>
      <c r="I79" t="s">
        <v>158</v>
      </c>
    </row>
    <row r="80" spans="1:17" x14ac:dyDescent="0.2">
      <c r="A80" s="3">
        <v>42.109000000000002</v>
      </c>
      <c r="B80">
        <v>1</v>
      </c>
      <c r="C80" t="s">
        <v>159</v>
      </c>
      <c r="E80" s="21">
        <v>29</v>
      </c>
      <c r="F80" s="21">
        <v>1</v>
      </c>
      <c r="I80" t="s">
        <v>160</v>
      </c>
    </row>
    <row r="81" spans="1:9" x14ac:dyDescent="0.2">
      <c r="A81" s="3">
        <v>50.433999999999997</v>
      </c>
      <c r="B81">
        <v>1</v>
      </c>
      <c r="C81" t="s">
        <v>161</v>
      </c>
      <c r="E81" s="21" t="s">
        <v>156</v>
      </c>
      <c r="F81" s="21">
        <v>3</v>
      </c>
      <c r="I81" t="s">
        <v>162</v>
      </c>
    </row>
    <row r="82" spans="1:9" x14ac:dyDescent="0.2">
      <c r="A82" s="3">
        <v>18.376000000000001</v>
      </c>
      <c r="B82">
        <v>1</v>
      </c>
      <c r="C82" t="s">
        <v>163</v>
      </c>
      <c r="E82" s="21">
        <v>8</v>
      </c>
      <c r="F82" s="21"/>
      <c r="I82" t="s">
        <v>164</v>
      </c>
    </row>
    <row r="83" spans="1:9" x14ac:dyDescent="0.2">
      <c r="A83" s="3">
        <v>18.257000000000001</v>
      </c>
      <c r="B83">
        <v>2</v>
      </c>
      <c r="C83" t="s">
        <v>165</v>
      </c>
      <c r="E83" s="21">
        <v>13</v>
      </c>
      <c r="F83" s="21"/>
      <c r="I83" t="s">
        <v>166</v>
      </c>
    </row>
    <row r="84" spans="1:9" x14ac:dyDescent="0.2">
      <c r="A84" s="3">
        <v>18.257000000000001</v>
      </c>
      <c r="B84">
        <v>3</v>
      </c>
      <c r="C84" t="s">
        <v>167</v>
      </c>
      <c r="E84" s="21">
        <v>24</v>
      </c>
      <c r="F84" s="21"/>
      <c r="I84" t="s">
        <v>168</v>
      </c>
    </row>
    <row r="85" spans="1:9" x14ac:dyDescent="0.2">
      <c r="A85" s="3"/>
      <c r="E85" s="21"/>
      <c r="F85" s="21"/>
    </row>
    <row r="86" spans="1:9" x14ac:dyDescent="0.2">
      <c r="A86" s="3"/>
      <c r="E86" s="21"/>
      <c r="F86" s="21"/>
    </row>
    <row r="87" spans="1:9" x14ac:dyDescent="0.2">
      <c r="A87" s="3"/>
      <c r="E87" s="21"/>
      <c r="F87" s="21"/>
    </row>
    <row r="88" spans="1:9" x14ac:dyDescent="0.2">
      <c r="A88" s="3"/>
      <c r="E88" s="21"/>
      <c r="F88" s="21"/>
    </row>
    <row r="89" spans="1:9" x14ac:dyDescent="0.2">
      <c r="A89" s="3"/>
      <c r="E89" s="21"/>
      <c r="F89" s="21"/>
    </row>
    <row r="90" spans="1:9" x14ac:dyDescent="0.2">
      <c r="A90" s="3"/>
      <c r="E90" s="21"/>
      <c r="F90" s="21"/>
    </row>
    <row r="91" spans="1:9" x14ac:dyDescent="0.2">
      <c r="A91" s="3"/>
      <c r="E91" s="21"/>
      <c r="F91" s="21"/>
    </row>
    <row r="92" spans="1:9" x14ac:dyDescent="0.2">
      <c r="A92" s="3"/>
      <c r="E92" s="21"/>
      <c r="F92" s="21"/>
    </row>
    <row r="93" spans="1:9" x14ac:dyDescent="0.2">
      <c r="A93" s="3"/>
      <c r="E93" s="21"/>
      <c r="F93" s="21"/>
    </row>
    <row r="94" spans="1:9" x14ac:dyDescent="0.2">
      <c r="A94" s="3"/>
      <c r="E94" s="21"/>
      <c r="F94" s="21"/>
    </row>
    <row r="95" spans="1:9" x14ac:dyDescent="0.2">
      <c r="A95" s="3"/>
      <c r="E95" s="21"/>
      <c r="F95" s="21"/>
    </row>
    <row r="96" spans="1:9" x14ac:dyDescent="0.2">
      <c r="A96" s="3"/>
      <c r="E96" s="21"/>
      <c r="F96" s="21"/>
    </row>
    <row r="97" spans="1:6" x14ac:dyDescent="0.2">
      <c r="A97" s="3"/>
      <c r="E97" s="21"/>
      <c r="F97" s="21"/>
    </row>
    <row r="98" spans="1:6" x14ac:dyDescent="0.2">
      <c r="A98" s="3"/>
      <c r="E98" s="21"/>
      <c r="F98" s="21"/>
    </row>
    <row r="99" spans="1:6" x14ac:dyDescent="0.2">
      <c r="A99" s="3"/>
      <c r="E99" s="21"/>
      <c r="F99" s="21"/>
    </row>
    <row r="100" spans="1:6" x14ac:dyDescent="0.2">
      <c r="A100" s="3"/>
      <c r="E100" s="21"/>
      <c r="F100" s="21"/>
    </row>
    <row r="101" spans="1:6" x14ac:dyDescent="0.2">
      <c r="A101" s="3"/>
      <c r="E101" s="21"/>
      <c r="F101" s="21"/>
    </row>
    <row r="102" spans="1:6" x14ac:dyDescent="0.2">
      <c r="A102" s="3"/>
      <c r="E102" s="21"/>
      <c r="F102" s="21"/>
    </row>
    <row r="103" spans="1:6" x14ac:dyDescent="0.2">
      <c r="A103" s="3"/>
      <c r="E103" s="21"/>
      <c r="F103" s="21"/>
    </row>
    <row r="104" spans="1:6" x14ac:dyDescent="0.2">
      <c r="A104" s="3"/>
      <c r="E104" s="21"/>
      <c r="F104" s="21"/>
    </row>
    <row r="105" spans="1:6" x14ac:dyDescent="0.2">
      <c r="A105" s="3"/>
      <c r="E105" s="21"/>
      <c r="F105" s="21"/>
    </row>
    <row r="106" spans="1:6" x14ac:dyDescent="0.2">
      <c r="A106" s="3"/>
      <c r="E106" s="21"/>
      <c r="F106" s="21"/>
    </row>
    <row r="107" spans="1:6" x14ac:dyDescent="0.2">
      <c r="A107" s="3"/>
      <c r="E107" s="21"/>
      <c r="F107" s="21"/>
    </row>
    <row r="108" spans="1:6" x14ac:dyDescent="0.2">
      <c r="A108" s="3"/>
      <c r="E108" s="21"/>
      <c r="F108" s="21"/>
    </row>
    <row r="109" spans="1:6" x14ac:dyDescent="0.2">
      <c r="A109" s="3"/>
      <c r="E109" s="21"/>
      <c r="F109" s="21"/>
    </row>
    <row r="110" spans="1:6" x14ac:dyDescent="0.2">
      <c r="A110" s="3"/>
      <c r="E110" s="21"/>
      <c r="F110" s="21"/>
    </row>
    <row r="111" spans="1:6" x14ac:dyDescent="0.2">
      <c r="A111" s="3"/>
      <c r="E111" s="21"/>
      <c r="F111" s="21"/>
    </row>
    <row r="112" spans="1:6" x14ac:dyDescent="0.2">
      <c r="A112" s="3"/>
      <c r="E112" s="21"/>
      <c r="F112" s="21"/>
    </row>
    <row r="113" spans="1:6" x14ac:dyDescent="0.2">
      <c r="A113" s="3"/>
      <c r="E113" s="21"/>
      <c r="F113" s="21"/>
    </row>
    <row r="114" spans="1:6" x14ac:dyDescent="0.2">
      <c r="E114" s="21"/>
      <c r="F114" s="21"/>
    </row>
    <row r="115" spans="1:6" x14ac:dyDescent="0.2">
      <c r="E115" s="21"/>
      <c r="F115" s="21"/>
    </row>
    <row r="116" spans="1:6" x14ac:dyDescent="0.2">
      <c r="E116" s="21"/>
      <c r="F116" s="21"/>
    </row>
    <row r="117" spans="1:6" x14ac:dyDescent="0.2">
      <c r="E117" s="21"/>
      <c r="F117" s="21"/>
    </row>
    <row r="118" spans="1:6" x14ac:dyDescent="0.2">
      <c r="E118" s="21"/>
      <c r="F118" s="21"/>
    </row>
    <row r="119" spans="1:6" x14ac:dyDescent="0.2">
      <c r="E119" s="21"/>
      <c r="F119" s="21"/>
    </row>
    <row r="120" spans="1:6" x14ac:dyDescent="0.2">
      <c r="E120" s="21"/>
      <c r="F120" s="21"/>
    </row>
    <row r="121" spans="1:6" x14ac:dyDescent="0.2">
      <c r="E121" s="21"/>
      <c r="F121" s="21"/>
    </row>
    <row r="122" spans="1:6" x14ac:dyDescent="0.2">
      <c r="E122" s="21"/>
      <c r="F122" s="21"/>
    </row>
    <row r="123" spans="1:6" x14ac:dyDescent="0.2">
      <c r="E123" s="21"/>
      <c r="F123" s="21"/>
    </row>
    <row r="124" spans="1:6" x14ac:dyDescent="0.2">
      <c r="E124" s="21"/>
      <c r="F124" s="21"/>
    </row>
    <row r="125" spans="1:6" x14ac:dyDescent="0.2">
      <c r="E125" s="21"/>
      <c r="F125" s="21"/>
    </row>
    <row r="126" spans="1:6" x14ac:dyDescent="0.2">
      <c r="E126" s="21"/>
      <c r="F126" s="21"/>
    </row>
    <row r="127" spans="1:6" x14ac:dyDescent="0.2">
      <c r="E127" s="21"/>
      <c r="F127" s="21"/>
    </row>
    <row r="128" spans="1:6" x14ac:dyDescent="0.2">
      <c r="E128" s="21"/>
      <c r="F128" s="21"/>
    </row>
    <row r="129" spans="5:6" x14ac:dyDescent="0.2">
      <c r="E129" s="21"/>
      <c r="F129" s="21"/>
    </row>
    <row r="130" spans="5:6" x14ac:dyDescent="0.2">
      <c r="E130" s="21"/>
      <c r="F130" s="21"/>
    </row>
    <row r="131" spans="5:6" x14ac:dyDescent="0.2">
      <c r="E131" s="21"/>
      <c r="F131" s="21"/>
    </row>
    <row r="132" spans="5:6" x14ac:dyDescent="0.2">
      <c r="E132" s="21"/>
      <c r="F132" s="21"/>
    </row>
    <row r="133" spans="5:6" x14ac:dyDescent="0.2">
      <c r="E133" s="21"/>
      <c r="F133" s="21"/>
    </row>
    <row r="134" spans="5:6" x14ac:dyDescent="0.2">
      <c r="E134" s="21"/>
      <c r="F134" s="21"/>
    </row>
    <row r="135" spans="5:6" x14ac:dyDescent="0.2">
      <c r="E135" s="21"/>
      <c r="F135" s="21"/>
    </row>
    <row r="136" spans="5:6" x14ac:dyDescent="0.2">
      <c r="E136" s="21"/>
      <c r="F136" s="21"/>
    </row>
    <row r="137" spans="5:6" x14ac:dyDescent="0.2">
      <c r="E137" s="21"/>
      <c r="F137" s="21"/>
    </row>
    <row r="138" spans="5:6" x14ac:dyDescent="0.2">
      <c r="E138" s="21"/>
      <c r="F138" s="21"/>
    </row>
    <row r="139" spans="5:6" x14ac:dyDescent="0.2">
      <c r="E139" s="21"/>
      <c r="F139" s="21"/>
    </row>
    <row r="140" spans="5:6" x14ac:dyDescent="0.2">
      <c r="E140" s="21"/>
      <c r="F140" s="21"/>
    </row>
    <row r="141" spans="5:6" x14ac:dyDescent="0.2">
      <c r="E141" s="21"/>
      <c r="F141" s="21"/>
    </row>
    <row r="142" spans="5:6" x14ac:dyDescent="0.2">
      <c r="E142" s="21"/>
      <c r="F142" s="21"/>
    </row>
    <row r="143" spans="5:6" x14ac:dyDescent="0.2">
      <c r="E143" s="21"/>
      <c r="F143" s="21"/>
    </row>
    <row r="144" spans="5:6" x14ac:dyDescent="0.2">
      <c r="E144" s="21"/>
      <c r="F144" s="21"/>
    </row>
    <row r="145" spans="5:6" x14ac:dyDescent="0.2">
      <c r="E145" s="21"/>
      <c r="F145" s="21"/>
    </row>
    <row r="146" spans="5:6" x14ac:dyDescent="0.2">
      <c r="E146" s="21"/>
      <c r="F146" s="21"/>
    </row>
    <row r="147" spans="5:6" x14ac:dyDescent="0.2">
      <c r="E147" s="21"/>
      <c r="F147" s="21"/>
    </row>
    <row r="148" spans="5:6" x14ac:dyDescent="0.2">
      <c r="E148" s="21"/>
      <c r="F148" s="21"/>
    </row>
    <row r="149" spans="5:6" x14ac:dyDescent="0.2">
      <c r="E149" s="21"/>
      <c r="F149" s="21"/>
    </row>
    <row r="150" spans="5:6" x14ac:dyDescent="0.2">
      <c r="E150" s="21"/>
      <c r="F150" s="21"/>
    </row>
    <row r="151" spans="5:6" x14ac:dyDescent="0.2">
      <c r="E151" s="21"/>
      <c r="F151" s="21"/>
    </row>
    <row r="152" spans="5:6" x14ac:dyDescent="0.2">
      <c r="E152" s="21"/>
      <c r="F152" s="21"/>
    </row>
    <row r="153" spans="5:6" x14ac:dyDescent="0.2">
      <c r="E153" s="21"/>
      <c r="F153" s="21"/>
    </row>
    <row r="154" spans="5:6" x14ac:dyDescent="0.2">
      <c r="E154" s="21"/>
      <c r="F154" s="21"/>
    </row>
    <row r="155" spans="5:6" x14ac:dyDescent="0.2">
      <c r="E155" s="21"/>
      <c r="F155" s="21"/>
    </row>
    <row r="156" spans="5:6" x14ac:dyDescent="0.2">
      <c r="E156" s="21"/>
      <c r="F156" s="21"/>
    </row>
    <row r="157" spans="5:6" x14ac:dyDescent="0.2">
      <c r="E157" s="21"/>
      <c r="F157" s="21"/>
    </row>
    <row r="158" spans="5:6" x14ac:dyDescent="0.2">
      <c r="E158" s="21"/>
      <c r="F158" s="21"/>
    </row>
    <row r="159" spans="5:6" x14ac:dyDescent="0.2">
      <c r="E159" s="21"/>
      <c r="F159" s="21"/>
    </row>
    <row r="160" spans="5:6" x14ac:dyDescent="0.2">
      <c r="E160" s="21"/>
      <c r="F160" s="21"/>
    </row>
    <row r="161" spans="5:6" x14ac:dyDescent="0.2">
      <c r="E161" s="21"/>
      <c r="F161" s="21"/>
    </row>
    <row r="162" spans="5:6" x14ac:dyDescent="0.2">
      <c r="E162" s="21"/>
      <c r="F162" s="21"/>
    </row>
    <row r="163" spans="5:6" x14ac:dyDescent="0.2">
      <c r="E163" s="21"/>
      <c r="F163" s="21"/>
    </row>
    <row r="164" spans="5:6" x14ac:dyDescent="0.2">
      <c r="E164" s="21"/>
      <c r="F164" s="21"/>
    </row>
    <row r="165" spans="5:6" x14ac:dyDescent="0.2">
      <c r="E165" s="21"/>
      <c r="F165" s="21"/>
    </row>
    <row r="166" spans="5:6" x14ac:dyDescent="0.2">
      <c r="E166" s="21"/>
      <c r="F166" s="21"/>
    </row>
    <row r="167" spans="5:6" x14ac:dyDescent="0.2">
      <c r="E167" s="21"/>
      <c r="F167" s="21"/>
    </row>
    <row r="168" spans="5:6" x14ac:dyDescent="0.2">
      <c r="E168" s="21"/>
      <c r="F168" s="21"/>
    </row>
    <row r="169" spans="5:6" x14ac:dyDescent="0.2">
      <c r="E169" s="21"/>
      <c r="F169" s="21"/>
    </row>
    <row r="170" spans="5:6" x14ac:dyDescent="0.2">
      <c r="E170" s="21"/>
      <c r="F170" s="21"/>
    </row>
    <row r="171" spans="5:6" x14ac:dyDescent="0.2">
      <c r="E171" s="21"/>
      <c r="F171" s="21"/>
    </row>
    <row r="172" spans="5:6" x14ac:dyDescent="0.2">
      <c r="E172" s="21"/>
      <c r="F172" s="21"/>
    </row>
    <row r="173" spans="5:6" x14ac:dyDescent="0.2">
      <c r="E173" s="21"/>
      <c r="F173" s="21"/>
    </row>
    <row r="174" spans="5:6" x14ac:dyDescent="0.2">
      <c r="E174" s="21"/>
      <c r="F174" s="21"/>
    </row>
    <row r="175" spans="5:6" x14ac:dyDescent="0.2">
      <c r="E175" s="21"/>
      <c r="F175" s="21"/>
    </row>
    <row r="176" spans="5:6" x14ac:dyDescent="0.2">
      <c r="E176" s="21"/>
      <c r="F176" s="21"/>
    </row>
    <row r="177" spans="5:6" x14ac:dyDescent="0.2">
      <c r="E177" s="21"/>
      <c r="F177" s="21"/>
    </row>
    <row r="178" spans="5:6" x14ac:dyDescent="0.2">
      <c r="E178" s="21"/>
      <c r="F178" s="21"/>
    </row>
    <row r="179" spans="5:6" x14ac:dyDescent="0.2">
      <c r="E179" s="21"/>
      <c r="F179" s="21"/>
    </row>
    <row r="180" spans="5:6" x14ac:dyDescent="0.2">
      <c r="E180" s="21"/>
      <c r="F180" s="21"/>
    </row>
    <row r="181" spans="5:6" x14ac:dyDescent="0.2">
      <c r="E181" s="21"/>
      <c r="F181" s="21"/>
    </row>
    <row r="182" spans="5:6" x14ac:dyDescent="0.2">
      <c r="E182" s="21"/>
      <c r="F182" s="21"/>
    </row>
    <row r="183" spans="5:6" x14ac:dyDescent="0.2">
      <c r="E183" s="21"/>
      <c r="F183" s="21"/>
    </row>
    <row r="184" spans="5:6" x14ac:dyDescent="0.2">
      <c r="E184" s="21"/>
      <c r="F184" s="21"/>
    </row>
    <row r="185" spans="5:6" x14ac:dyDescent="0.2">
      <c r="E185" s="21"/>
      <c r="F185" s="21"/>
    </row>
    <row r="186" spans="5:6" x14ac:dyDescent="0.2">
      <c r="E186" s="21"/>
      <c r="F186" s="21"/>
    </row>
    <row r="187" spans="5:6" x14ac:dyDescent="0.2">
      <c r="E187" s="21"/>
      <c r="F187" s="21"/>
    </row>
    <row r="188" spans="5:6" x14ac:dyDescent="0.2">
      <c r="E188" s="21"/>
      <c r="F188" s="21"/>
    </row>
    <row r="189" spans="5:6" x14ac:dyDescent="0.2">
      <c r="E189" s="21"/>
      <c r="F189" s="21"/>
    </row>
    <row r="190" spans="5:6" x14ac:dyDescent="0.2">
      <c r="E190" s="21"/>
      <c r="F190" s="21"/>
    </row>
    <row r="191" spans="5:6" x14ac:dyDescent="0.2">
      <c r="E191" s="21"/>
      <c r="F191" s="21"/>
    </row>
    <row r="192" spans="5:6" x14ac:dyDescent="0.2">
      <c r="E192" s="21"/>
      <c r="F192" s="21"/>
    </row>
    <row r="193" spans="5:6" x14ac:dyDescent="0.2">
      <c r="E193" s="21"/>
      <c r="F193" s="21"/>
    </row>
    <row r="194" spans="5:6" x14ac:dyDescent="0.2">
      <c r="E194" s="21"/>
      <c r="F194" s="21"/>
    </row>
    <row r="195" spans="5:6" x14ac:dyDescent="0.2">
      <c r="E195" s="21"/>
      <c r="F195" s="21"/>
    </row>
    <row r="196" spans="5:6" x14ac:dyDescent="0.2">
      <c r="E196" s="21"/>
      <c r="F196" s="21"/>
    </row>
    <row r="197" spans="5:6" x14ac:dyDescent="0.2">
      <c r="E197" s="21"/>
      <c r="F197" s="21"/>
    </row>
    <row r="198" spans="5:6" x14ac:dyDescent="0.2">
      <c r="E198" s="21"/>
      <c r="F198" s="21"/>
    </row>
    <row r="199" spans="5:6" x14ac:dyDescent="0.2">
      <c r="E199" s="21"/>
      <c r="F199" s="21"/>
    </row>
    <row r="200" spans="5:6" x14ac:dyDescent="0.2">
      <c r="E200" s="21"/>
      <c r="F200" s="21"/>
    </row>
    <row r="201" spans="5:6" x14ac:dyDescent="0.2">
      <c r="E201" s="21"/>
      <c r="F201" s="21"/>
    </row>
    <row r="202" spans="5:6" x14ac:dyDescent="0.2">
      <c r="E202" s="21"/>
      <c r="F202" s="21"/>
    </row>
    <row r="203" spans="5:6" x14ac:dyDescent="0.2">
      <c r="E203" s="21"/>
      <c r="F203" s="21"/>
    </row>
    <row r="204" spans="5:6" x14ac:dyDescent="0.2">
      <c r="E204" s="21"/>
      <c r="F204" s="21"/>
    </row>
    <row r="205" spans="5:6" x14ac:dyDescent="0.2">
      <c r="E205" s="21"/>
      <c r="F205" s="21"/>
    </row>
    <row r="206" spans="5:6" x14ac:dyDescent="0.2">
      <c r="E206" s="21"/>
      <c r="F206" s="21"/>
    </row>
    <row r="207" spans="5:6" x14ac:dyDescent="0.2">
      <c r="E207" s="21"/>
      <c r="F207" s="21"/>
    </row>
    <row r="208" spans="5:6" x14ac:dyDescent="0.2">
      <c r="E208" s="21"/>
      <c r="F208" s="21"/>
    </row>
    <row r="209" spans="5:6" x14ac:dyDescent="0.2">
      <c r="E209" s="21"/>
      <c r="F209" s="21"/>
    </row>
    <row r="210" spans="5:6" x14ac:dyDescent="0.2">
      <c r="E210" s="21"/>
      <c r="F210" s="21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FF0000"/>
  </sheetPr>
  <dimension ref="A1:XEB164"/>
  <sheetViews>
    <sheetView zoomScaleNormal="100" workbookViewId="0">
      <selection activeCell="T37" sqref="T37"/>
    </sheetView>
  </sheetViews>
  <sheetFormatPr baseColWidth="10" defaultColWidth="10.85546875" defaultRowHeight="12.75" x14ac:dyDescent="0.2"/>
  <cols>
    <col min="1" max="1" width="15.5703125" style="18" bestFit="1" customWidth="1"/>
    <col min="2" max="2" width="12.140625" hidden="1" customWidth="1"/>
    <col min="3" max="3" width="27.85546875" style="60" bestFit="1" customWidth="1"/>
    <col min="4" max="4" width="5" bestFit="1" customWidth="1"/>
    <col min="5" max="5" width="2.5703125" customWidth="1"/>
    <col min="6" max="7" width="5" hidden="1" customWidth="1"/>
    <col min="8" max="8" width="10.5703125" hidden="1" customWidth="1"/>
    <col min="9" max="9" width="3" customWidth="1"/>
    <col min="10" max="10" width="13.5703125" style="18" bestFit="1" customWidth="1"/>
    <col min="11" max="11" width="5.5703125" bestFit="1" customWidth="1"/>
    <col min="12" max="12" width="6.7109375" style="18" customWidth="1"/>
    <col min="13" max="13" width="5.140625" style="59" customWidth="1"/>
    <col min="14" max="14" width="5" style="59" customWidth="1"/>
    <col min="15" max="15" width="5.140625" style="59" customWidth="1"/>
    <col min="16" max="16" width="5" style="58" customWidth="1"/>
    <col min="17" max="17" width="5.140625" style="58" customWidth="1"/>
    <col min="18" max="18" width="5.42578125" style="59" hidden="1" customWidth="1"/>
    <col min="19" max="19" width="8.85546875" style="57" bestFit="1" customWidth="1"/>
    <col min="20" max="20" width="7.85546875" style="26" customWidth="1"/>
    <col min="21" max="21" width="7.5703125" style="18" customWidth="1"/>
    <col min="22" max="22" width="6.140625" style="26" hidden="1" customWidth="1"/>
    <col min="23" max="23" width="3.85546875" style="26" hidden="1" customWidth="1"/>
    <col min="24" max="24" width="6.5703125" style="26" hidden="1" customWidth="1"/>
    <col min="25" max="25" width="4.7109375" style="26" hidden="1" customWidth="1"/>
    <col min="26" max="26" width="4.140625" style="26" hidden="1" customWidth="1"/>
    <col min="27" max="27" width="5.42578125" style="26" hidden="1" customWidth="1"/>
    <col min="28" max="28" width="6.85546875" style="26" hidden="1" customWidth="1"/>
    <col min="29" max="29" width="7.5703125" style="56" hidden="1" customWidth="1"/>
    <col min="30" max="30" width="6.42578125" style="40" hidden="1" customWidth="1"/>
    <col min="31" max="31" width="5.7109375" style="56" hidden="1" customWidth="1"/>
    <col min="32" max="32" width="4.28515625" style="56" customWidth="1"/>
    <col min="33" max="33" width="3.7109375" style="16" customWidth="1"/>
    <col min="34" max="34" width="5.5703125" style="54" customWidth="1"/>
    <col min="35" max="35" width="16.28515625" bestFit="1" customWidth="1"/>
    <col min="36" max="36" width="5.5703125" bestFit="1" customWidth="1"/>
    <col min="37" max="37" width="9" bestFit="1" customWidth="1"/>
    <col min="38" max="38" width="8.42578125" style="14" customWidth="1"/>
    <col min="39" max="39" width="8.5703125" style="14" customWidth="1"/>
    <col min="40" max="40" width="7.7109375" style="14" customWidth="1"/>
    <col min="41" max="41" width="8" customWidth="1"/>
    <col min="42" max="42" width="5.140625" customWidth="1"/>
  </cols>
  <sheetData>
    <row r="1" spans="1:53" ht="12.75" customHeight="1" thickBot="1" x14ac:dyDescent="0.25">
      <c r="J1" s="158"/>
      <c r="K1" s="157"/>
      <c r="L1" s="31"/>
      <c r="M1" s="156"/>
      <c r="N1" s="156"/>
      <c r="O1" s="156"/>
      <c r="P1" s="155"/>
      <c r="Q1" s="155"/>
      <c r="R1" s="156"/>
      <c r="S1" s="154"/>
      <c r="T1" s="153"/>
      <c r="U1" s="31"/>
      <c r="V1" s="154"/>
      <c r="W1" s="153"/>
      <c r="X1" s="154"/>
      <c r="Y1" s="154"/>
      <c r="Z1" s="153"/>
      <c r="AA1" s="14"/>
      <c r="AB1" s="14"/>
      <c r="AF1" s="45"/>
      <c r="AG1" s="56"/>
      <c r="AH1" s="182"/>
      <c r="AJ1" s="55"/>
      <c r="AK1" s="54"/>
      <c r="AL1"/>
      <c r="AM1" s="16"/>
      <c r="AN1" s="16"/>
      <c r="AO1" s="16"/>
      <c r="AP1" s="16"/>
    </row>
    <row r="2" spans="1:53" ht="18" hidden="1" thickBot="1" x14ac:dyDescent="0.25">
      <c r="A2" s="193" t="s">
        <v>98</v>
      </c>
      <c r="B2" s="194"/>
      <c r="C2" s="194"/>
      <c r="D2" s="14"/>
      <c r="E2" s="14"/>
      <c r="F2" s="14"/>
      <c r="G2" s="14"/>
      <c r="J2" s="195" t="s">
        <v>98</v>
      </c>
      <c r="L2" s="30"/>
      <c r="M2" s="152"/>
      <c r="N2" s="152"/>
      <c r="O2" s="152"/>
      <c r="P2" s="151"/>
      <c r="Q2" s="151"/>
      <c r="R2" s="152"/>
      <c r="S2" s="150"/>
      <c r="T2" s="149"/>
      <c r="U2" s="30"/>
      <c r="V2" s="149" t="s">
        <v>94</v>
      </c>
      <c r="W2" s="149"/>
      <c r="X2" s="149"/>
      <c r="Y2" s="149"/>
      <c r="Z2" s="149"/>
      <c r="AA2" s="149"/>
      <c r="AB2" s="149"/>
      <c r="AC2" s="148"/>
      <c r="AD2" s="172"/>
      <c r="AE2" s="148"/>
      <c r="AF2" s="46"/>
      <c r="AG2" s="148"/>
      <c r="AH2" s="183"/>
      <c r="AI2" s="160" t="s">
        <v>98</v>
      </c>
      <c r="AK2" s="54"/>
      <c r="AL2"/>
      <c r="AM2" s="16"/>
      <c r="AN2" s="16"/>
      <c r="AO2" s="16"/>
      <c r="AP2" s="16"/>
    </row>
    <row r="3" spans="1:53" ht="16.5" thickBot="1" x14ac:dyDescent="0.25">
      <c r="A3" s="193" t="s">
        <v>1</v>
      </c>
      <c r="B3" s="159" t="s">
        <v>88</v>
      </c>
      <c r="C3" s="159" t="s">
        <v>2</v>
      </c>
      <c r="D3" s="14" t="s">
        <v>99</v>
      </c>
      <c r="E3" s="14"/>
      <c r="F3" s="14"/>
      <c r="G3" s="14"/>
      <c r="H3" s="28"/>
      <c r="J3" s="196" t="s">
        <v>100</v>
      </c>
      <c r="K3" t="s">
        <v>99</v>
      </c>
      <c r="L3" s="147" t="s">
        <v>101</v>
      </c>
      <c r="M3" s="146" t="s">
        <v>102</v>
      </c>
      <c r="N3" s="145" t="s">
        <v>103</v>
      </c>
      <c r="O3" s="144" t="s">
        <v>104</v>
      </c>
      <c r="P3" s="144" t="s">
        <v>105</v>
      </c>
      <c r="Q3" s="144" t="s">
        <v>106</v>
      </c>
      <c r="R3" s="143" t="s">
        <v>110</v>
      </c>
      <c r="S3" s="142" t="s">
        <v>107</v>
      </c>
      <c r="T3" s="98" t="s">
        <v>108</v>
      </c>
      <c r="U3" s="53" t="s">
        <v>109</v>
      </c>
      <c r="V3" s="141" t="s">
        <v>103</v>
      </c>
      <c r="W3" s="140" t="s">
        <v>104</v>
      </c>
      <c r="X3" s="140" t="s">
        <v>105</v>
      </c>
      <c r="Y3" s="140" t="s">
        <v>106</v>
      </c>
      <c r="Z3" s="139" t="s">
        <v>110</v>
      </c>
      <c r="AA3" s="138" t="s">
        <v>95</v>
      </c>
      <c r="AB3" s="137" t="s">
        <v>96</v>
      </c>
      <c r="AC3" s="136" t="s">
        <v>97</v>
      </c>
      <c r="AD3" s="174"/>
      <c r="AE3" s="135"/>
      <c r="AF3" s="45"/>
      <c r="AG3" s="135"/>
      <c r="AH3" s="184"/>
      <c r="AI3" s="160" t="s">
        <v>90</v>
      </c>
      <c r="AJ3" t="s">
        <v>99</v>
      </c>
      <c r="AK3" s="134"/>
      <c r="AL3"/>
      <c r="AM3" s="16"/>
      <c r="AN3" s="16"/>
      <c r="AO3" s="16"/>
      <c r="AP3" s="16"/>
    </row>
    <row r="4" spans="1:53" x14ac:dyDescent="0.2">
      <c r="A4" s="194" t="s">
        <v>4</v>
      </c>
      <c r="B4" s="15" t="s">
        <v>111</v>
      </c>
      <c r="C4" s="14" t="s">
        <v>5</v>
      </c>
      <c r="D4">
        <v>25</v>
      </c>
      <c r="J4" s="198" t="s">
        <v>4</v>
      </c>
      <c r="K4" s="201">
        <v>38</v>
      </c>
      <c r="L4" s="189">
        <v>38</v>
      </c>
      <c r="M4" s="133">
        <f>AK33</f>
        <v>20</v>
      </c>
      <c r="N4" s="132"/>
      <c r="O4" s="132"/>
      <c r="P4" s="132">
        <v>58.536585365853661</v>
      </c>
      <c r="Q4" s="169"/>
      <c r="R4" s="164"/>
      <c r="S4" s="49">
        <f>SUM(L4:R4)</f>
        <v>116.53658536585365</v>
      </c>
      <c r="T4" s="49">
        <v>60</v>
      </c>
      <c r="U4" s="35">
        <f t="shared" ref="U4:U17" si="0">+S4-T4</f>
        <v>56.536585365853654</v>
      </c>
      <c r="V4" s="131" t="e">
        <f>#REF!</f>
        <v>#REF!</v>
      </c>
      <c r="W4" s="49"/>
      <c r="X4" s="131" t="e">
        <f>#REF!</f>
        <v>#REF!</v>
      </c>
      <c r="Y4" s="162"/>
      <c r="Z4" s="35"/>
      <c r="AA4" s="49" t="e">
        <f t="shared" ref="AA4:AA25" si="1">+SUM(U4:Z4)</f>
        <v>#REF!</v>
      </c>
      <c r="AB4" s="49">
        <v>126</v>
      </c>
      <c r="AC4" s="35" t="e">
        <f t="shared" ref="AC4:AC25" si="2">+AA4-AB4</f>
        <v>#REF!</v>
      </c>
      <c r="AD4"/>
      <c r="AE4"/>
      <c r="AF4" s="17"/>
      <c r="AG4"/>
      <c r="AI4" t="s">
        <v>112</v>
      </c>
      <c r="AJ4">
        <v>189</v>
      </c>
      <c r="AK4" s="130">
        <f>+GETPIVOTDATA("STOCK",$AI$2,"CATEGORIA","COMPUESTOS")/GETPIVOTDATA("STOCK",$AI$2)</f>
        <v>0.57621951219512191</v>
      </c>
      <c r="AL4"/>
      <c r="AM4" s="16"/>
      <c r="AN4" s="16"/>
      <c r="AO4" s="16"/>
      <c r="AP4" s="16"/>
    </row>
    <row r="5" spans="1:53" ht="13.5" thickBot="1" x14ac:dyDescent="0.25">
      <c r="A5" s="194"/>
      <c r="B5" s="14"/>
      <c r="C5" s="14" t="s">
        <v>6</v>
      </c>
      <c r="D5">
        <v>9</v>
      </c>
      <c r="J5" s="199" t="s">
        <v>14</v>
      </c>
      <c r="K5" s="202">
        <v>12</v>
      </c>
      <c r="L5" s="190">
        <v>12</v>
      </c>
      <c r="M5" s="44">
        <f>AK34</f>
        <v>52.631578947368418</v>
      </c>
      <c r="N5" s="129"/>
      <c r="O5" s="129"/>
      <c r="P5" s="129">
        <v>42.10526315789474</v>
      </c>
      <c r="Q5" s="128"/>
      <c r="R5" s="165"/>
      <c r="S5" s="51">
        <f>SUM(L5:R5)</f>
        <v>106.73684210526315</v>
      </c>
      <c r="T5" s="51">
        <v>50</v>
      </c>
      <c r="U5" s="33">
        <f t="shared" si="0"/>
        <v>56.73684210526315</v>
      </c>
      <c r="V5" s="188" t="e">
        <f>#REF!</f>
        <v>#REF!</v>
      </c>
      <c r="W5" s="188"/>
      <c r="X5" s="188" t="e">
        <f>#REF!</f>
        <v>#REF!</v>
      </c>
      <c r="Y5" s="129"/>
      <c r="Z5" s="128"/>
      <c r="AA5" s="51" t="e">
        <f t="shared" si="1"/>
        <v>#REF!</v>
      </c>
      <c r="AB5" s="51">
        <v>114</v>
      </c>
      <c r="AC5" s="33" t="e">
        <f t="shared" si="2"/>
        <v>#REF!</v>
      </c>
      <c r="AD5"/>
      <c r="AE5"/>
      <c r="AF5" s="17"/>
      <c r="AG5"/>
      <c r="AI5" t="s">
        <v>115</v>
      </c>
      <c r="AJ5">
        <v>30</v>
      </c>
      <c r="AK5" s="130">
        <f>+GETPIVOTDATA("STOCK",$AI$2,"CATEGORIA","PLANTAS")/GETPIVOTDATA("STOCK",$AI$2)</f>
        <v>9.1463414634146339E-2</v>
      </c>
      <c r="AL5"/>
      <c r="AM5" s="16"/>
      <c r="AN5" s="16"/>
      <c r="AO5" s="16"/>
      <c r="AP5" s="16"/>
    </row>
    <row r="6" spans="1:53" x14ac:dyDescent="0.2">
      <c r="A6" s="194"/>
      <c r="B6" s="14"/>
      <c r="C6" s="14" t="s">
        <v>7</v>
      </c>
      <c r="D6">
        <v>0</v>
      </c>
      <c r="J6" s="199" t="s">
        <v>19</v>
      </c>
      <c r="K6" s="202">
        <v>16</v>
      </c>
      <c r="L6" s="191">
        <v>16</v>
      </c>
      <c r="M6" s="127"/>
      <c r="N6" s="126"/>
      <c r="O6" s="126"/>
      <c r="P6" s="126"/>
      <c r="Q6" s="170"/>
      <c r="R6" s="124"/>
      <c r="S6" s="50">
        <f>SUM(L6:R6)</f>
        <v>16</v>
      </c>
      <c r="T6" s="50">
        <v>8</v>
      </c>
      <c r="U6" s="29">
        <f t="shared" si="0"/>
        <v>8</v>
      </c>
      <c r="V6" s="126">
        <v>15</v>
      </c>
      <c r="W6" s="125"/>
      <c r="X6" s="125">
        <v>12</v>
      </c>
      <c r="Y6" s="125"/>
      <c r="Z6" s="124"/>
      <c r="AA6" s="50">
        <f t="shared" si="1"/>
        <v>35</v>
      </c>
      <c r="AB6" s="50">
        <v>18</v>
      </c>
      <c r="AC6" s="29">
        <f>+AA6-AB6</f>
        <v>17</v>
      </c>
      <c r="AD6"/>
      <c r="AE6"/>
      <c r="AF6" s="17"/>
      <c r="AG6"/>
      <c r="AI6" t="s">
        <v>116</v>
      </c>
      <c r="AJ6">
        <v>50</v>
      </c>
      <c r="AK6" s="130">
        <f>+GETPIVOTDATA("STOCK",$AI$2,"CATEGORIA","ROSAS")/GETPIVOTDATA("STOCK",$AI$2)</f>
        <v>0.1524390243902439</v>
      </c>
      <c r="AL6"/>
      <c r="AM6" s="16"/>
      <c r="AN6" s="16"/>
      <c r="AO6" s="16"/>
      <c r="AP6" s="16"/>
    </row>
    <row r="7" spans="1:53" x14ac:dyDescent="0.2">
      <c r="A7" s="194"/>
      <c r="B7" s="14"/>
      <c r="C7" s="14" t="s">
        <v>8</v>
      </c>
      <c r="D7">
        <v>4</v>
      </c>
      <c r="J7" s="199" t="s">
        <v>26</v>
      </c>
      <c r="K7" s="202">
        <v>22</v>
      </c>
      <c r="L7" s="191">
        <v>22</v>
      </c>
      <c r="M7" s="127"/>
      <c r="N7" s="126"/>
      <c r="O7" s="126"/>
      <c r="P7" s="126"/>
      <c r="Q7" s="170"/>
      <c r="R7" s="166"/>
      <c r="S7" s="50">
        <f t="shared" ref="S7:S17" si="3">SUM(L7:R7)</f>
        <v>22</v>
      </c>
      <c r="T7" s="50">
        <v>5</v>
      </c>
      <c r="U7" s="29">
        <f t="shared" si="0"/>
        <v>17</v>
      </c>
      <c r="V7" s="126">
        <v>0</v>
      </c>
      <c r="W7" s="125"/>
      <c r="X7" s="125">
        <v>0</v>
      </c>
      <c r="Y7" s="125"/>
      <c r="Z7" s="124"/>
      <c r="AA7" s="50">
        <f t="shared" si="1"/>
        <v>17</v>
      </c>
      <c r="AB7" s="50">
        <v>15</v>
      </c>
      <c r="AC7" s="29">
        <f t="shared" si="2"/>
        <v>2</v>
      </c>
      <c r="AD7"/>
      <c r="AE7"/>
      <c r="AF7" s="17"/>
      <c r="AG7"/>
      <c r="AI7" t="s">
        <v>117</v>
      </c>
      <c r="AJ7">
        <v>59</v>
      </c>
      <c r="AK7" s="130">
        <f>+GETPIVOTDATA("STOCK",$AI$2,"CATEGORIA","SIMPLES")/GETPIVOTDATA("STOCK",$AI$2)</f>
        <v>0.1798780487804878</v>
      </c>
      <c r="AL7"/>
      <c r="AM7" s="16"/>
      <c r="AN7" s="16"/>
      <c r="AO7" s="16"/>
      <c r="AP7" s="16"/>
    </row>
    <row r="8" spans="1:53" x14ac:dyDescent="0.2">
      <c r="A8" s="194"/>
      <c r="B8" s="15" t="s">
        <v>114</v>
      </c>
      <c r="C8" s="14"/>
      <c r="D8">
        <v>38</v>
      </c>
      <c r="J8" s="199" t="s">
        <v>181</v>
      </c>
      <c r="K8" s="202">
        <v>15</v>
      </c>
      <c r="L8" s="191">
        <v>15</v>
      </c>
      <c r="M8" s="127"/>
      <c r="N8" s="126"/>
      <c r="O8" s="126"/>
      <c r="P8" s="126">
        <v>10</v>
      </c>
      <c r="Q8" s="170"/>
      <c r="R8" s="166"/>
      <c r="S8" s="50">
        <f t="shared" si="3"/>
        <v>25</v>
      </c>
      <c r="T8" s="50">
        <v>1</v>
      </c>
      <c r="U8" s="29">
        <f t="shared" si="0"/>
        <v>24</v>
      </c>
      <c r="V8" s="126">
        <v>15</v>
      </c>
      <c r="W8" s="125"/>
      <c r="X8" s="125">
        <v>10</v>
      </c>
      <c r="Y8" s="125"/>
      <c r="Z8" s="124"/>
      <c r="AA8" s="50">
        <f t="shared" si="1"/>
        <v>49</v>
      </c>
      <c r="AB8" s="50">
        <v>20</v>
      </c>
      <c r="AC8" s="29">
        <f t="shared" si="2"/>
        <v>29</v>
      </c>
      <c r="AD8"/>
      <c r="AE8"/>
      <c r="AF8" s="17"/>
      <c r="AG8"/>
      <c r="AI8" t="s">
        <v>118</v>
      </c>
      <c r="AJ8">
        <v>328</v>
      </c>
      <c r="AK8" s="123">
        <f>+SUM(AK4:AK7)</f>
        <v>1</v>
      </c>
      <c r="AL8"/>
      <c r="AM8" s="16"/>
      <c r="AN8" s="16"/>
      <c r="AO8" s="16"/>
      <c r="AP8" s="16"/>
      <c r="BA8">
        <v>40</v>
      </c>
    </row>
    <row r="9" spans="1:53" x14ac:dyDescent="0.2">
      <c r="A9" s="194" t="s">
        <v>14</v>
      </c>
      <c r="B9" s="15" t="s">
        <v>111</v>
      </c>
      <c r="C9" s="14" t="s">
        <v>15</v>
      </c>
      <c r="D9">
        <v>2</v>
      </c>
      <c r="J9" s="199" t="s">
        <v>174</v>
      </c>
      <c r="K9" s="202">
        <v>1</v>
      </c>
      <c r="L9" s="191">
        <v>1</v>
      </c>
      <c r="M9" s="127"/>
      <c r="N9" s="126"/>
      <c r="O9" s="126"/>
      <c r="P9" s="126">
        <v>12</v>
      </c>
      <c r="Q9" s="170"/>
      <c r="R9" s="166"/>
      <c r="S9" s="50">
        <f t="shared" si="3"/>
        <v>13</v>
      </c>
      <c r="T9" s="50">
        <v>6</v>
      </c>
      <c r="U9" s="29">
        <f t="shared" si="0"/>
        <v>7</v>
      </c>
      <c r="V9" s="126">
        <v>0</v>
      </c>
      <c r="W9" s="125"/>
      <c r="X9" s="125">
        <v>8</v>
      </c>
      <c r="Y9" s="125"/>
      <c r="Z9" s="124"/>
      <c r="AA9" s="50">
        <f t="shared" si="1"/>
        <v>15</v>
      </c>
      <c r="AB9" s="50">
        <v>6</v>
      </c>
      <c r="AC9" s="29">
        <f t="shared" si="2"/>
        <v>9</v>
      </c>
      <c r="AD9"/>
      <c r="AE9"/>
      <c r="AF9" s="17"/>
      <c r="AG9"/>
      <c r="AK9" s="54"/>
      <c r="AL9"/>
      <c r="AM9" s="16"/>
      <c r="AN9" s="16"/>
      <c r="AO9" s="16"/>
      <c r="AP9" s="16"/>
    </row>
    <row r="10" spans="1:53" x14ac:dyDescent="0.2">
      <c r="A10" s="194"/>
      <c r="B10" s="14"/>
      <c r="C10" s="14" t="s">
        <v>16</v>
      </c>
      <c r="D10">
        <v>4</v>
      </c>
      <c r="J10" s="199" t="s">
        <v>119</v>
      </c>
      <c r="K10" s="202">
        <v>7</v>
      </c>
      <c r="L10" s="191">
        <v>7</v>
      </c>
      <c r="M10" s="127"/>
      <c r="N10" s="126"/>
      <c r="O10" s="126"/>
      <c r="P10" s="126">
        <v>15</v>
      </c>
      <c r="Q10" s="170"/>
      <c r="R10" s="166"/>
      <c r="S10" s="50">
        <f t="shared" si="3"/>
        <v>22</v>
      </c>
      <c r="T10" s="50">
        <v>12</v>
      </c>
      <c r="U10" s="29">
        <f t="shared" si="0"/>
        <v>10</v>
      </c>
      <c r="V10" s="126">
        <v>0</v>
      </c>
      <c r="W10" s="125"/>
      <c r="X10" s="125">
        <v>10</v>
      </c>
      <c r="Y10" s="125"/>
      <c r="Z10" s="124"/>
      <c r="AA10" s="50">
        <f t="shared" si="1"/>
        <v>20</v>
      </c>
      <c r="AB10" s="50">
        <v>19</v>
      </c>
      <c r="AC10" s="29">
        <f t="shared" si="2"/>
        <v>1</v>
      </c>
      <c r="AD10"/>
      <c r="AE10"/>
      <c r="AF10" s="17"/>
      <c r="AG10"/>
      <c r="AI10" s="122"/>
      <c r="AL10"/>
      <c r="AM10" s="16"/>
      <c r="AN10" s="16"/>
      <c r="AO10" s="16"/>
      <c r="AP10" s="16"/>
    </row>
    <row r="11" spans="1:53" x14ac:dyDescent="0.2">
      <c r="A11" s="194"/>
      <c r="B11" s="14"/>
      <c r="C11" s="14" t="s">
        <v>17</v>
      </c>
      <c r="D11">
        <v>4</v>
      </c>
      <c r="J11" s="199" t="s">
        <v>34</v>
      </c>
      <c r="K11" s="202">
        <v>10</v>
      </c>
      <c r="L11" s="191">
        <v>10</v>
      </c>
      <c r="M11" s="127"/>
      <c r="N11" s="126"/>
      <c r="O11" s="126"/>
      <c r="P11" s="126"/>
      <c r="Q11" s="170"/>
      <c r="R11" s="166"/>
      <c r="S11" s="50">
        <f t="shared" si="3"/>
        <v>10</v>
      </c>
      <c r="T11" s="50">
        <v>6</v>
      </c>
      <c r="U11" s="29">
        <f t="shared" si="0"/>
        <v>4</v>
      </c>
      <c r="V11" s="126">
        <v>8</v>
      </c>
      <c r="W11" s="125"/>
      <c r="X11" s="125">
        <v>0</v>
      </c>
      <c r="Y11" s="125"/>
      <c r="Z11" s="124"/>
      <c r="AA11" s="50">
        <f t="shared" si="1"/>
        <v>12</v>
      </c>
      <c r="AB11" s="50">
        <v>8</v>
      </c>
      <c r="AC11" s="29">
        <f t="shared" si="2"/>
        <v>4</v>
      </c>
      <c r="AD11"/>
      <c r="AE11"/>
      <c r="AF11" s="17"/>
      <c r="AG11"/>
      <c r="AL11"/>
      <c r="AM11" s="16"/>
      <c r="AN11"/>
      <c r="AR11" s="17"/>
    </row>
    <row r="12" spans="1:53" x14ac:dyDescent="0.2">
      <c r="A12" s="194"/>
      <c r="B12" s="14"/>
      <c r="C12" s="14" t="s">
        <v>18</v>
      </c>
      <c r="D12">
        <v>2</v>
      </c>
      <c r="J12" s="199" t="s">
        <v>149</v>
      </c>
      <c r="K12" s="202">
        <v>2</v>
      </c>
      <c r="L12" s="191">
        <v>2</v>
      </c>
      <c r="M12" s="127"/>
      <c r="N12" s="126"/>
      <c r="O12" s="168"/>
      <c r="P12" s="126"/>
      <c r="Q12" s="170"/>
      <c r="R12" s="166"/>
      <c r="S12" s="50">
        <f t="shared" si="3"/>
        <v>2</v>
      </c>
      <c r="T12" s="50">
        <v>0</v>
      </c>
      <c r="U12" s="29">
        <f t="shared" si="0"/>
        <v>2</v>
      </c>
      <c r="V12" s="126">
        <v>0</v>
      </c>
      <c r="W12" s="125"/>
      <c r="X12" s="125">
        <v>0</v>
      </c>
      <c r="Y12" s="125"/>
      <c r="Z12" s="124"/>
      <c r="AA12" s="50">
        <f t="shared" si="1"/>
        <v>2</v>
      </c>
      <c r="AB12" s="50">
        <v>0</v>
      </c>
      <c r="AC12" s="29">
        <f t="shared" si="2"/>
        <v>2</v>
      </c>
      <c r="AD12"/>
      <c r="AE12"/>
      <c r="AF12" s="17"/>
      <c r="AG12"/>
      <c r="AI12" s="119"/>
      <c r="AJ12" s="43"/>
      <c r="AK12" s="43"/>
      <c r="AL12"/>
      <c r="AM12" s="16"/>
      <c r="AN12" s="16"/>
      <c r="AO12" s="16"/>
      <c r="AP12" s="16"/>
    </row>
    <row r="13" spans="1:53" x14ac:dyDescent="0.2">
      <c r="A13" s="194"/>
      <c r="B13" s="15" t="s">
        <v>114</v>
      </c>
      <c r="C13" s="14"/>
      <c r="D13">
        <v>12</v>
      </c>
      <c r="J13" s="199" t="s">
        <v>36</v>
      </c>
      <c r="K13" s="202">
        <v>31</v>
      </c>
      <c r="L13" s="191">
        <v>31</v>
      </c>
      <c r="M13" s="127"/>
      <c r="N13" s="126"/>
      <c r="O13" s="168"/>
      <c r="P13" s="126">
        <v>12</v>
      </c>
      <c r="Q13" s="170"/>
      <c r="R13" s="166"/>
      <c r="S13" s="50">
        <f t="shared" si="3"/>
        <v>43</v>
      </c>
      <c r="T13" s="50">
        <v>25</v>
      </c>
      <c r="U13" s="29">
        <f t="shared" si="0"/>
        <v>18</v>
      </c>
      <c r="V13" s="126">
        <v>20</v>
      </c>
      <c r="W13" s="125"/>
      <c r="X13" s="125">
        <v>15</v>
      </c>
      <c r="Y13" s="125"/>
      <c r="Z13" s="124"/>
      <c r="AA13" s="50">
        <f t="shared" si="1"/>
        <v>53</v>
      </c>
      <c r="AB13" s="50">
        <v>41</v>
      </c>
      <c r="AC13" s="29">
        <f t="shared" si="2"/>
        <v>12</v>
      </c>
      <c r="AD13"/>
      <c r="AE13"/>
      <c r="AF13" s="17"/>
      <c r="AG13"/>
      <c r="AI13" s="43"/>
      <c r="AJ13" s="43"/>
      <c r="AK13" s="43"/>
      <c r="AL13"/>
      <c r="AM13" s="16"/>
      <c r="AN13" s="16"/>
      <c r="AO13" s="16"/>
      <c r="AP13" s="16"/>
    </row>
    <row r="14" spans="1:53" x14ac:dyDescent="0.2">
      <c r="A14" s="194" t="s">
        <v>19</v>
      </c>
      <c r="B14" s="15" t="s">
        <v>111</v>
      </c>
      <c r="C14" s="14" t="s">
        <v>20</v>
      </c>
      <c r="D14">
        <v>2</v>
      </c>
      <c r="J14" s="199" t="s">
        <v>143</v>
      </c>
      <c r="K14" s="202">
        <v>17</v>
      </c>
      <c r="L14" s="191">
        <v>17</v>
      </c>
      <c r="M14" s="127"/>
      <c r="N14" s="126"/>
      <c r="O14" s="126"/>
      <c r="P14" s="126">
        <v>10</v>
      </c>
      <c r="Q14" s="170"/>
      <c r="R14" s="166"/>
      <c r="S14" s="50">
        <f t="shared" si="3"/>
        <v>27</v>
      </c>
      <c r="T14" s="50">
        <v>12</v>
      </c>
      <c r="U14" s="29">
        <f t="shared" si="0"/>
        <v>15</v>
      </c>
      <c r="V14" s="126">
        <v>0</v>
      </c>
      <c r="W14" s="125"/>
      <c r="X14" s="125">
        <v>0</v>
      </c>
      <c r="Y14" s="125"/>
      <c r="Z14" s="124"/>
      <c r="AA14" s="50">
        <f t="shared" si="1"/>
        <v>15</v>
      </c>
      <c r="AB14" s="50">
        <v>17</v>
      </c>
      <c r="AC14" s="29">
        <f t="shared" si="2"/>
        <v>-2</v>
      </c>
      <c r="AD14"/>
      <c r="AE14"/>
      <c r="AF14" s="17"/>
      <c r="AG14"/>
      <c r="AJ14" s="17"/>
      <c r="AK14" s="163"/>
      <c r="AL14" s="163"/>
      <c r="AM14"/>
      <c r="AN14" s="16"/>
      <c r="AO14" s="16"/>
      <c r="AP14" s="16"/>
    </row>
    <row r="15" spans="1:53" x14ac:dyDescent="0.2">
      <c r="A15" s="194"/>
      <c r="B15" s="14"/>
      <c r="C15" s="14" t="s">
        <v>21</v>
      </c>
      <c r="D15">
        <v>11</v>
      </c>
      <c r="J15" s="199" t="s">
        <v>142</v>
      </c>
      <c r="K15" s="202">
        <v>19</v>
      </c>
      <c r="L15" s="191">
        <v>19</v>
      </c>
      <c r="M15" s="127"/>
      <c r="N15" s="126"/>
      <c r="O15" s="126"/>
      <c r="P15" s="126">
        <v>6</v>
      </c>
      <c r="Q15" s="170"/>
      <c r="R15" s="166"/>
      <c r="S15" s="50">
        <f t="shared" si="3"/>
        <v>25</v>
      </c>
      <c r="T15" s="50">
        <v>22</v>
      </c>
      <c r="U15" s="29">
        <f t="shared" si="0"/>
        <v>3</v>
      </c>
      <c r="V15" s="126">
        <v>25</v>
      </c>
      <c r="W15" s="125"/>
      <c r="X15" s="125">
        <v>15</v>
      </c>
      <c r="Y15" s="125"/>
      <c r="Z15" s="124"/>
      <c r="AA15" s="50">
        <f t="shared" si="1"/>
        <v>43</v>
      </c>
      <c r="AB15" s="50">
        <v>37</v>
      </c>
      <c r="AC15" s="29">
        <f t="shared" si="2"/>
        <v>6</v>
      </c>
      <c r="AD15"/>
      <c r="AE15"/>
      <c r="AF15" s="17"/>
      <c r="AG15"/>
      <c r="AJ15" s="28"/>
      <c r="AK15" s="115"/>
      <c r="AL15"/>
      <c r="AM15" s="16"/>
      <c r="AN15" s="16"/>
      <c r="AO15" s="16"/>
      <c r="AP15" s="16"/>
    </row>
    <row r="16" spans="1:53" x14ac:dyDescent="0.2">
      <c r="A16" s="194"/>
      <c r="B16" s="14"/>
      <c r="C16" s="14" t="s">
        <v>183</v>
      </c>
      <c r="D16">
        <v>3</v>
      </c>
      <c r="J16" s="199" t="s">
        <v>153</v>
      </c>
      <c r="K16" s="202">
        <v>23</v>
      </c>
      <c r="L16" s="191">
        <v>23</v>
      </c>
      <c r="M16" s="127"/>
      <c r="N16" s="126"/>
      <c r="O16" s="126"/>
      <c r="P16" s="126">
        <v>10</v>
      </c>
      <c r="Q16" s="170"/>
      <c r="R16" s="166"/>
      <c r="S16" s="50">
        <f t="shared" si="3"/>
        <v>33</v>
      </c>
      <c r="T16" s="50">
        <v>21</v>
      </c>
      <c r="U16" s="29">
        <f t="shared" si="0"/>
        <v>12</v>
      </c>
      <c r="V16" s="126">
        <v>20</v>
      </c>
      <c r="W16" s="125"/>
      <c r="X16" s="125">
        <v>15</v>
      </c>
      <c r="Y16" s="125"/>
      <c r="Z16" s="124"/>
      <c r="AA16" s="50">
        <f t="shared" si="1"/>
        <v>47</v>
      </c>
      <c r="AB16" s="50">
        <v>35</v>
      </c>
      <c r="AC16" s="29">
        <f t="shared" si="2"/>
        <v>12</v>
      </c>
      <c r="AD16"/>
      <c r="AE16"/>
      <c r="AF16" s="17"/>
      <c r="AG16"/>
      <c r="AI16" s="60" t="s">
        <v>179</v>
      </c>
      <c r="AJ16" s="26"/>
      <c r="AK16" s="115"/>
      <c r="AL16"/>
      <c r="AM16" s="16"/>
      <c r="AN16" s="16"/>
      <c r="AO16" s="16"/>
      <c r="AP16" s="16"/>
    </row>
    <row r="17" spans="1:42 16356:16356" x14ac:dyDescent="0.2">
      <c r="A17" s="194"/>
      <c r="B17" s="15" t="s">
        <v>114</v>
      </c>
      <c r="C17" s="14"/>
      <c r="D17">
        <v>16</v>
      </c>
      <c r="J17" s="199" t="s">
        <v>175</v>
      </c>
      <c r="K17" s="202">
        <v>26</v>
      </c>
      <c r="L17" s="191">
        <v>26</v>
      </c>
      <c r="M17" s="127"/>
      <c r="N17" s="126"/>
      <c r="O17" s="126"/>
      <c r="P17" s="126"/>
      <c r="Q17" s="170"/>
      <c r="R17" s="166"/>
      <c r="S17" s="50">
        <f t="shared" si="3"/>
        <v>26</v>
      </c>
      <c r="T17" s="50">
        <v>8</v>
      </c>
      <c r="U17" s="29">
        <f t="shared" si="0"/>
        <v>18</v>
      </c>
      <c r="V17" s="126">
        <v>0</v>
      </c>
      <c r="W17" s="125"/>
      <c r="X17" s="125">
        <v>10</v>
      </c>
      <c r="Y17" s="125"/>
      <c r="Z17" s="124"/>
      <c r="AA17" s="50">
        <f t="shared" si="1"/>
        <v>28</v>
      </c>
      <c r="AB17" s="50">
        <v>22</v>
      </c>
      <c r="AC17" s="29">
        <f t="shared" si="2"/>
        <v>6</v>
      </c>
      <c r="AD17"/>
      <c r="AE17"/>
      <c r="AF17" s="17"/>
      <c r="AG17"/>
      <c r="AI17" s="113" t="s">
        <v>182</v>
      </c>
      <c r="AJ17" s="112">
        <v>580</v>
      </c>
      <c r="AL17"/>
      <c r="AM17" s="16"/>
      <c r="AN17" s="16"/>
      <c r="AO17" s="16"/>
      <c r="AP17" s="16"/>
    </row>
    <row r="18" spans="1:42 16356:16356" x14ac:dyDescent="0.2">
      <c r="A18" s="194" t="s">
        <v>26</v>
      </c>
      <c r="B18" s="15" t="s">
        <v>111</v>
      </c>
      <c r="C18" s="14" t="s">
        <v>27</v>
      </c>
      <c r="D18">
        <v>8</v>
      </c>
      <c r="J18" s="199" t="s">
        <v>53</v>
      </c>
      <c r="K18" s="202">
        <v>5</v>
      </c>
      <c r="L18" s="191">
        <v>5</v>
      </c>
      <c r="M18" s="127"/>
      <c r="N18" s="114"/>
      <c r="O18" s="114"/>
      <c r="P18" s="118"/>
      <c r="Q18" s="171"/>
      <c r="R18" s="114"/>
      <c r="S18" s="185">
        <f>SUM(L18:R18)</f>
        <v>5</v>
      </c>
      <c r="T18" s="186">
        <v>3</v>
      </c>
      <c r="U18" s="187">
        <f t="shared" ref="U18:U21" si="4">+S18-T18</f>
        <v>2</v>
      </c>
      <c r="V18" s="118"/>
      <c r="W18" s="117"/>
      <c r="X18" s="117"/>
      <c r="Y18" s="117"/>
      <c r="Z18" s="116"/>
      <c r="AA18" s="50">
        <f t="shared" si="1"/>
        <v>2</v>
      </c>
      <c r="AB18" s="50">
        <v>2</v>
      </c>
      <c r="AC18" s="29">
        <f t="shared" si="2"/>
        <v>0</v>
      </c>
      <c r="AD18"/>
      <c r="AE18"/>
      <c r="AF18" s="17"/>
      <c r="AG18"/>
      <c r="AI18" s="111" t="s">
        <v>122</v>
      </c>
      <c r="AJ18">
        <v>302</v>
      </c>
      <c r="AK18" s="115"/>
      <c r="AL18"/>
      <c r="AM18" s="16"/>
      <c r="AN18" s="16"/>
      <c r="AO18" s="16"/>
      <c r="AP18" s="16"/>
    </row>
    <row r="19" spans="1:42 16356:16356" x14ac:dyDescent="0.2">
      <c r="A19" s="194"/>
      <c r="B19" s="14"/>
      <c r="C19" s="14" t="s">
        <v>28</v>
      </c>
      <c r="D19">
        <v>12</v>
      </c>
      <c r="J19" s="199" t="s">
        <v>57</v>
      </c>
      <c r="K19" s="202">
        <v>6</v>
      </c>
      <c r="L19" s="191">
        <v>6</v>
      </c>
      <c r="M19" s="127"/>
      <c r="N19" s="114"/>
      <c r="O19" s="114"/>
      <c r="P19" s="118"/>
      <c r="Q19" s="171"/>
      <c r="R19" s="114"/>
      <c r="S19" s="185">
        <f t="shared" ref="S19:S25" si="5">SUM(L19:R19)</f>
        <v>6</v>
      </c>
      <c r="T19" s="186">
        <v>2</v>
      </c>
      <c r="U19" s="187">
        <f t="shared" si="4"/>
        <v>4</v>
      </c>
      <c r="V19" s="118"/>
      <c r="W19" s="117"/>
      <c r="X19" s="117"/>
      <c r="Y19" s="117"/>
      <c r="Z19" s="116"/>
      <c r="AA19" s="50">
        <f t="shared" si="1"/>
        <v>4</v>
      </c>
      <c r="AB19" s="50">
        <v>2</v>
      </c>
      <c r="AC19" s="29">
        <f t="shared" si="2"/>
        <v>2</v>
      </c>
      <c r="AD19"/>
      <c r="AE19"/>
      <c r="AF19" s="17"/>
      <c r="AG19"/>
      <c r="AI19" s="32"/>
      <c r="AK19" s="110"/>
      <c r="AL19" s="28"/>
      <c r="AM19" s="109"/>
      <c r="AN19" s="109"/>
      <c r="AO19" s="109"/>
      <c r="AP19" s="109"/>
    </row>
    <row r="20" spans="1:42 16356:16356" ht="13.5" thickBot="1" x14ac:dyDescent="0.25">
      <c r="A20" s="194"/>
      <c r="B20" s="14"/>
      <c r="C20" s="14" t="s">
        <v>29</v>
      </c>
      <c r="D20">
        <v>2</v>
      </c>
      <c r="J20" s="199" t="s">
        <v>58</v>
      </c>
      <c r="K20" s="202">
        <v>19</v>
      </c>
      <c r="L20" s="191">
        <v>19</v>
      </c>
      <c r="M20" s="127"/>
      <c r="N20" s="114"/>
      <c r="O20" s="114"/>
      <c r="P20" s="118"/>
      <c r="Q20" s="171"/>
      <c r="R20" s="114"/>
      <c r="S20" s="185">
        <f t="shared" si="5"/>
        <v>19</v>
      </c>
      <c r="T20" s="186">
        <v>3</v>
      </c>
      <c r="U20" s="187">
        <f t="shared" si="4"/>
        <v>16</v>
      </c>
      <c r="V20" s="118"/>
      <c r="W20" s="117"/>
      <c r="X20" s="117"/>
      <c r="Y20" s="117"/>
      <c r="Z20" s="116"/>
      <c r="AA20" s="50">
        <f t="shared" si="1"/>
        <v>16</v>
      </c>
      <c r="AB20" s="50">
        <v>11</v>
      </c>
      <c r="AC20" s="29">
        <f t="shared" si="2"/>
        <v>5</v>
      </c>
      <c r="AD20"/>
      <c r="AE20"/>
      <c r="AF20" s="17"/>
      <c r="AG20"/>
      <c r="AI20" s="111" t="s">
        <v>123</v>
      </c>
      <c r="AJ20" s="16">
        <f>+SUM(N26:R26)</f>
        <v>193.64184852374839</v>
      </c>
      <c r="AK20" s="30"/>
      <c r="AL20" s="16"/>
      <c r="AM20" s="16"/>
      <c r="AN20" s="16"/>
      <c r="AO20" s="16"/>
      <c r="AP20" s="16"/>
    </row>
    <row r="21" spans="1:42 16356:16356" ht="13.5" thickBot="1" x14ac:dyDescent="0.25">
      <c r="A21" s="194"/>
      <c r="B21" s="15" t="s">
        <v>114</v>
      </c>
      <c r="C21" s="14"/>
      <c r="D21">
        <v>22</v>
      </c>
      <c r="J21" s="199" t="s">
        <v>61</v>
      </c>
      <c r="K21" s="202">
        <v>7</v>
      </c>
      <c r="L21" s="191">
        <v>7</v>
      </c>
      <c r="M21" s="127"/>
      <c r="N21" s="126"/>
      <c r="O21" s="126"/>
      <c r="P21" s="126"/>
      <c r="Q21" s="170"/>
      <c r="R21" s="124"/>
      <c r="S21" s="50">
        <f t="shared" si="5"/>
        <v>7</v>
      </c>
      <c r="T21" s="50">
        <v>2</v>
      </c>
      <c r="U21" s="29">
        <f t="shared" si="4"/>
        <v>5</v>
      </c>
      <c r="V21" s="180">
        <v>0</v>
      </c>
      <c r="W21" s="181"/>
      <c r="X21" s="125">
        <v>6</v>
      </c>
      <c r="Y21" s="125"/>
      <c r="Z21" s="124"/>
      <c r="AA21" s="50">
        <f t="shared" si="1"/>
        <v>11</v>
      </c>
      <c r="AB21" s="50">
        <v>9</v>
      </c>
      <c r="AC21" s="29">
        <f t="shared" si="2"/>
        <v>2</v>
      </c>
      <c r="AD21"/>
      <c r="AE21"/>
      <c r="AF21" s="17"/>
      <c r="AG21"/>
      <c r="AI21" s="106" t="s">
        <v>125</v>
      </c>
      <c r="AJ21" s="105">
        <f>AJ17-AJ18</f>
        <v>278</v>
      </c>
      <c r="AK21" s="55"/>
      <c r="AL21"/>
      <c r="AM21" s="16"/>
      <c r="AN21" s="16"/>
      <c r="AO21" s="16"/>
      <c r="AP21" s="16"/>
    </row>
    <row r="22" spans="1:42 16356:16356" x14ac:dyDescent="0.2">
      <c r="A22" s="194" t="s">
        <v>181</v>
      </c>
      <c r="B22" s="15" t="s">
        <v>111</v>
      </c>
      <c r="C22" s="14" t="s">
        <v>147</v>
      </c>
      <c r="D22">
        <v>5</v>
      </c>
      <c r="J22" s="199" t="s">
        <v>65</v>
      </c>
      <c r="K22" s="202">
        <v>5</v>
      </c>
      <c r="L22" s="191">
        <v>5</v>
      </c>
      <c r="M22" s="127"/>
      <c r="N22" s="126"/>
      <c r="O22" s="126"/>
      <c r="P22" s="126">
        <v>5</v>
      </c>
      <c r="Q22" s="170"/>
      <c r="R22" s="124"/>
      <c r="S22" s="50">
        <f t="shared" si="5"/>
        <v>10</v>
      </c>
      <c r="T22" s="50">
        <v>6</v>
      </c>
      <c r="U22" s="29">
        <f>+S22-T22</f>
        <v>4</v>
      </c>
      <c r="V22" s="126">
        <v>0</v>
      </c>
      <c r="W22" s="125"/>
      <c r="X22" s="125">
        <v>8</v>
      </c>
      <c r="Y22" s="125"/>
      <c r="Z22" s="124"/>
      <c r="AA22" s="50">
        <f t="shared" si="1"/>
        <v>12</v>
      </c>
      <c r="AB22" s="50">
        <v>15</v>
      </c>
      <c r="AC22" s="29">
        <f t="shared" si="2"/>
        <v>-3</v>
      </c>
      <c r="AD22"/>
      <c r="AE22"/>
      <c r="AF22" s="17"/>
      <c r="AG22"/>
      <c r="AK22" t="s">
        <v>124</v>
      </c>
      <c r="AL22"/>
      <c r="AM22" s="16"/>
      <c r="AN22"/>
      <c r="XEB22">
        <f>+SUM(XEJ4:XFD21)</f>
        <v>0</v>
      </c>
    </row>
    <row r="23" spans="1:42 16356:16356" ht="13.5" thickBot="1" x14ac:dyDescent="0.25">
      <c r="A23" s="194"/>
      <c r="B23" s="14"/>
      <c r="C23" s="14" t="s">
        <v>184</v>
      </c>
      <c r="D23">
        <v>8</v>
      </c>
      <c r="J23" s="199" t="s">
        <v>150</v>
      </c>
      <c r="K23" s="202">
        <v>0</v>
      </c>
      <c r="L23" s="191">
        <v>0</v>
      </c>
      <c r="M23" s="127"/>
      <c r="N23" s="126"/>
      <c r="O23" s="126"/>
      <c r="P23" s="126"/>
      <c r="Q23" s="170"/>
      <c r="R23" s="124"/>
      <c r="S23" s="50">
        <f t="shared" si="5"/>
        <v>0</v>
      </c>
      <c r="T23" s="50">
        <v>0</v>
      </c>
      <c r="U23" s="29">
        <f>+S23-T23</f>
        <v>0</v>
      </c>
      <c r="V23" s="126">
        <v>0</v>
      </c>
      <c r="W23" s="125"/>
      <c r="X23" s="125">
        <v>0</v>
      </c>
      <c r="Y23" s="125"/>
      <c r="Z23" s="124"/>
      <c r="AA23" s="50">
        <f t="shared" si="1"/>
        <v>0</v>
      </c>
      <c r="AB23" s="50">
        <v>0</v>
      </c>
      <c r="AC23" s="29">
        <f t="shared" si="2"/>
        <v>0</v>
      </c>
      <c r="AD23"/>
      <c r="AE23"/>
      <c r="AF23" s="17"/>
      <c r="AG23"/>
      <c r="AI23" s="28"/>
      <c r="AJ23" s="109"/>
      <c r="AL23"/>
      <c r="AM23" s="16"/>
      <c r="AN23" s="16"/>
      <c r="AO23" s="16"/>
      <c r="AP23" s="16"/>
    </row>
    <row r="24" spans="1:42 16356:16356" ht="13.5" thickBot="1" x14ac:dyDescent="0.25">
      <c r="A24" s="194"/>
      <c r="B24" s="14"/>
      <c r="C24" s="14" t="s">
        <v>185</v>
      </c>
      <c r="D24">
        <v>2</v>
      </c>
      <c r="J24" s="199" t="s">
        <v>139</v>
      </c>
      <c r="K24" s="202">
        <v>37</v>
      </c>
      <c r="L24" s="191">
        <v>37</v>
      </c>
      <c r="M24" s="127"/>
      <c r="N24" s="126"/>
      <c r="O24" s="126"/>
      <c r="P24" s="126">
        <v>10</v>
      </c>
      <c r="Q24" s="170"/>
      <c r="R24" s="124"/>
      <c r="S24" s="50">
        <f t="shared" si="5"/>
        <v>47</v>
      </c>
      <c r="T24" s="50">
        <v>19</v>
      </c>
      <c r="U24" s="29">
        <f>+S24-T24</f>
        <v>28</v>
      </c>
      <c r="V24" s="126">
        <v>30</v>
      </c>
      <c r="W24" s="125"/>
      <c r="X24" s="125">
        <v>25</v>
      </c>
      <c r="Y24" s="125"/>
      <c r="Z24" s="124"/>
      <c r="AA24" s="50">
        <f t="shared" si="1"/>
        <v>83</v>
      </c>
      <c r="AB24" s="50">
        <v>48</v>
      </c>
      <c r="AC24" s="29">
        <f t="shared" si="2"/>
        <v>35</v>
      </c>
      <c r="AD24"/>
      <c r="AE24"/>
      <c r="AF24" s="17"/>
      <c r="AG24"/>
      <c r="AI24" s="104"/>
      <c r="AJ24" s="103"/>
      <c r="AK24" s="103"/>
      <c r="AL24" s="103"/>
      <c r="AM24" s="103"/>
      <c r="AN24" s="103"/>
      <c r="AO24" s="102"/>
      <c r="AP24" s="121"/>
    </row>
    <row r="25" spans="1:42 16356:16356" ht="13.5" thickBot="1" x14ac:dyDescent="0.25">
      <c r="A25" s="194"/>
      <c r="B25" s="15" t="s">
        <v>114</v>
      </c>
      <c r="C25" s="14"/>
      <c r="D25">
        <v>15</v>
      </c>
      <c r="J25" s="200" t="s">
        <v>69</v>
      </c>
      <c r="K25" s="203">
        <v>10</v>
      </c>
      <c r="L25" s="192">
        <v>10</v>
      </c>
      <c r="M25" s="127"/>
      <c r="N25" s="126"/>
      <c r="O25" s="126"/>
      <c r="P25" s="126">
        <v>3</v>
      </c>
      <c r="Q25" s="170"/>
      <c r="R25" s="124"/>
      <c r="S25" s="50">
        <f t="shared" si="5"/>
        <v>13</v>
      </c>
      <c r="T25" s="50">
        <v>4</v>
      </c>
      <c r="U25" s="29">
        <f>+S25-T25</f>
        <v>9</v>
      </c>
      <c r="V25" s="126">
        <v>10</v>
      </c>
      <c r="W25" s="125"/>
      <c r="X25" s="125">
        <v>10</v>
      </c>
      <c r="Y25" s="125"/>
      <c r="Z25" s="124"/>
      <c r="AA25" s="50">
        <f t="shared" si="1"/>
        <v>29</v>
      </c>
      <c r="AB25" s="50">
        <v>15</v>
      </c>
      <c r="AC25" s="29">
        <f t="shared" si="2"/>
        <v>14</v>
      </c>
      <c r="AD25"/>
      <c r="AE25"/>
      <c r="AF25" s="17"/>
      <c r="AG25"/>
      <c r="AI25" s="101"/>
      <c r="AJ25" s="100"/>
      <c r="AK25" s="99"/>
      <c r="AL25" s="100"/>
      <c r="AM25" s="99"/>
      <c r="AN25" s="100"/>
      <c r="AO25" s="98"/>
      <c r="AP25" s="120"/>
    </row>
    <row r="26" spans="1:42 16356:16356" ht="13.5" thickBot="1" x14ac:dyDescent="0.25">
      <c r="A26" s="194" t="s">
        <v>174</v>
      </c>
      <c r="B26" s="15" t="s">
        <v>111</v>
      </c>
      <c r="C26" s="14" t="s">
        <v>172</v>
      </c>
      <c r="D26">
        <v>1</v>
      </c>
      <c r="J26" s="197" t="s">
        <v>126</v>
      </c>
      <c r="K26" s="204">
        <v>328</v>
      </c>
      <c r="L26" s="97">
        <f>SUM(L4:L25)</f>
        <v>328</v>
      </c>
      <c r="M26" s="96">
        <f>+SUM(M4:M25)</f>
        <v>72.631578947368411</v>
      </c>
      <c r="N26" s="38">
        <f>+SUM(N4:N25)</f>
        <v>0</v>
      </c>
      <c r="O26" s="38">
        <f>+SUM(O4:O25)</f>
        <v>0</v>
      </c>
      <c r="P26" s="38">
        <f>+SUM(P4:P25)</f>
        <v>193.64184852374839</v>
      </c>
      <c r="Q26" s="39">
        <f>SUM(Q4:Q25)</f>
        <v>0</v>
      </c>
      <c r="R26" s="39">
        <f>+SUM(R4:R25)</f>
        <v>0</v>
      </c>
      <c r="S26" s="38">
        <f>SUM(S4:S25)</f>
        <v>594.27342747111675</v>
      </c>
      <c r="T26" s="38">
        <f>+SUM(T4:T25)</f>
        <v>275</v>
      </c>
      <c r="U26" s="39">
        <f>+SUM(U4:U25)</f>
        <v>319.2734274711168</v>
      </c>
      <c r="V26" s="38" t="e">
        <f>+SUM(V4:V25)</f>
        <v>#REF!</v>
      </c>
      <c r="W26" s="38"/>
      <c r="X26" s="38" t="e">
        <f>SUM(X4:X25)</f>
        <v>#REF!</v>
      </c>
      <c r="Y26" s="38">
        <f>+SUM(Y4:Y25)</f>
        <v>0</v>
      </c>
      <c r="Z26" s="38"/>
      <c r="AA26" s="95" t="e">
        <f>+SUM(AA4:AA25)</f>
        <v>#REF!</v>
      </c>
      <c r="AB26" s="161">
        <f>+SUM(AB4:AB25)</f>
        <v>580</v>
      </c>
      <c r="AC26" s="39" t="e">
        <f>SUM(AC4:AC25)</f>
        <v>#REF!</v>
      </c>
      <c r="AD26" s="25"/>
      <c r="AE26"/>
      <c r="AF26" s="17"/>
      <c r="AG26"/>
      <c r="AI26" s="94"/>
      <c r="AJ26" s="206"/>
      <c r="AK26" s="208"/>
      <c r="AL26" s="208"/>
      <c r="AM26" s="208"/>
      <c r="AN26" s="210"/>
      <c r="AO26" s="1"/>
      <c r="AP26" s="120"/>
    </row>
    <row r="27" spans="1:42 16356:16356" ht="13.5" thickBot="1" x14ac:dyDescent="0.25">
      <c r="A27" s="194"/>
      <c r="B27" s="15" t="s">
        <v>114</v>
      </c>
      <c r="C27" s="14"/>
      <c r="D27">
        <v>1</v>
      </c>
      <c r="J27"/>
      <c r="AD27" s="17"/>
      <c r="AE27"/>
      <c r="AF27" s="17"/>
      <c r="AG27"/>
      <c r="AI27" s="94"/>
      <c r="AJ27" s="207"/>
      <c r="AK27" s="209"/>
      <c r="AL27" s="209"/>
      <c r="AM27" s="209"/>
      <c r="AN27" s="211"/>
      <c r="AO27" s="205"/>
      <c r="AP27" s="120"/>
    </row>
    <row r="28" spans="1:42 16356:16356" x14ac:dyDescent="0.2">
      <c r="A28" s="194" t="s">
        <v>119</v>
      </c>
      <c r="B28" s="15" t="s">
        <v>111</v>
      </c>
      <c r="C28" s="14" t="s">
        <v>92</v>
      </c>
      <c r="D28">
        <v>7</v>
      </c>
      <c r="J28"/>
      <c r="V28" s="93"/>
      <c r="W28" s="25"/>
      <c r="X28" s="25"/>
      <c r="Y28" s="92"/>
      <c r="AC28" s="91"/>
      <c r="AD28"/>
      <c r="AE28" s="12"/>
      <c r="AF28"/>
      <c r="AG28"/>
      <c r="AH28" s="182"/>
      <c r="AI28" s="101"/>
      <c r="AJ28" s="14"/>
      <c r="AK28" s="26"/>
      <c r="AO28" s="14"/>
      <c r="AP28" s="120"/>
    </row>
    <row r="29" spans="1:42 16356:16356" ht="16.5" thickBot="1" x14ac:dyDescent="0.25">
      <c r="A29" s="194"/>
      <c r="B29" s="15" t="s">
        <v>114</v>
      </c>
      <c r="C29" s="14"/>
      <c r="D29">
        <v>7</v>
      </c>
      <c r="J29"/>
      <c r="N29" s="58"/>
      <c r="V29" s="27">
        <f>SUM(V6:V25)</f>
        <v>143</v>
      </c>
      <c r="W29" s="25"/>
      <c r="X29" s="27">
        <f>SUM(X6:X25)</f>
        <v>144</v>
      </c>
      <c r="Y29" s="27"/>
      <c r="AB29" s="88"/>
      <c r="AC29" s="91"/>
      <c r="AD29" s="4"/>
      <c r="AE29"/>
      <c r="AF29" s="48"/>
      <c r="AG29" s="54"/>
      <c r="AH29" s="182"/>
      <c r="AI29" s="108"/>
      <c r="AJ29" s="42"/>
      <c r="AK29" s="42"/>
      <c r="AL29" s="42"/>
      <c r="AM29" s="87"/>
      <c r="AN29" s="86"/>
      <c r="AO29" s="86"/>
      <c r="AP29" s="107"/>
    </row>
    <row r="30" spans="1:42 16356:16356" ht="15.75" x14ac:dyDescent="0.2">
      <c r="A30" s="194" t="s">
        <v>34</v>
      </c>
      <c r="B30" s="15" t="s">
        <v>111</v>
      </c>
      <c r="C30" s="14" t="s">
        <v>35</v>
      </c>
      <c r="D30">
        <v>10</v>
      </c>
      <c r="J30"/>
      <c r="L30" s="28"/>
      <c r="M30" s="90"/>
      <c r="N30" s="58"/>
      <c r="O30" s="90"/>
      <c r="U30" s="63"/>
      <c r="Y30" s="89"/>
      <c r="AA30" s="88"/>
      <c r="AB30" s="88"/>
      <c r="AC30"/>
      <c r="AD30" s="4"/>
      <c r="AE30"/>
      <c r="AF30" s="48"/>
      <c r="AG30" s="56"/>
      <c r="AH30" s="182"/>
      <c r="AL30"/>
      <c r="AM30"/>
      <c r="AN30"/>
    </row>
    <row r="31" spans="1:42 16356:16356" ht="15.75" x14ac:dyDescent="0.2">
      <c r="A31" s="194"/>
      <c r="B31" s="15" t="s">
        <v>114</v>
      </c>
      <c r="C31" s="14"/>
      <c r="D31">
        <v>10</v>
      </c>
      <c r="J31"/>
      <c r="M31" s="27"/>
      <c r="N31" s="27"/>
      <c r="O31" s="58"/>
      <c r="P31" s="27"/>
      <c r="Q31" s="27"/>
      <c r="T31" s="88"/>
      <c r="U31" s="167"/>
      <c r="Y31" s="89"/>
      <c r="AC31"/>
      <c r="AD31" s="4"/>
      <c r="AE31"/>
      <c r="AF31" s="48"/>
      <c r="AG31" s="56"/>
      <c r="AH31" s="182"/>
      <c r="AL31"/>
      <c r="AM31"/>
      <c r="AN31"/>
    </row>
    <row r="32" spans="1:42 16356:16356" ht="16.5" thickBot="1" x14ac:dyDescent="0.25">
      <c r="A32" s="194" t="s">
        <v>149</v>
      </c>
      <c r="B32" s="15" t="s">
        <v>111</v>
      </c>
      <c r="C32" s="14" t="s">
        <v>148</v>
      </c>
      <c r="D32">
        <v>2</v>
      </c>
      <c r="J32"/>
      <c r="M32" s="27"/>
      <c r="N32" s="27"/>
      <c r="O32" s="58"/>
      <c r="T32" s="88"/>
      <c r="U32" s="41"/>
      <c r="Y32" s="89"/>
      <c r="AB32" s="40"/>
      <c r="AC32" s="178"/>
      <c r="AD32" s="17"/>
      <c r="AF32" s="47"/>
      <c r="AG32" s="56"/>
      <c r="AH32" s="182"/>
      <c r="AJ32" s="18" t="s">
        <v>127</v>
      </c>
      <c r="AK32" s="18" t="s">
        <v>128</v>
      </c>
      <c r="AL32"/>
      <c r="AM32"/>
      <c r="AN32"/>
    </row>
    <row r="33" spans="1:43" x14ac:dyDescent="0.2">
      <c r="A33" s="194"/>
      <c r="B33" s="15" t="s">
        <v>114</v>
      </c>
      <c r="C33" s="14"/>
      <c r="D33">
        <v>2</v>
      </c>
      <c r="J33"/>
      <c r="M33" s="92"/>
      <c r="N33" s="92"/>
      <c r="O33" s="60" t="s">
        <v>179</v>
      </c>
      <c r="P33" s="26"/>
      <c r="Q33" s="57"/>
      <c r="R33" s="26"/>
      <c r="S33" s="60"/>
      <c r="V33" s="92"/>
      <c r="W33" s="60" t="s">
        <v>179</v>
      </c>
      <c r="Y33" s="57"/>
      <c r="AC33"/>
      <c r="AD33" s="173"/>
      <c r="AF33" s="52"/>
      <c r="AG33" s="56"/>
      <c r="AH33" s="182"/>
      <c r="AI33" s="20" t="s">
        <v>113</v>
      </c>
      <c r="AJ33" s="79">
        <v>840</v>
      </c>
      <c r="AK33" s="19">
        <f>+AJ33/42</f>
        <v>20</v>
      </c>
      <c r="AL33"/>
      <c r="AM33"/>
      <c r="AN33"/>
    </row>
    <row r="34" spans="1:43" ht="16.5" thickBot="1" x14ac:dyDescent="0.25">
      <c r="A34" s="194" t="s">
        <v>36</v>
      </c>
      <c r="B34" s="15" t="s">
        <v>111</v>
      </c>
      <c r="C34" s="14" t="s">
        <v>37</v>
      </c>
      <c r="D34">
        <v>12</v>
      </c>
      <c r="J34"/>
      <c r="M34" s="85"/>
      <c r="N34" s="85"/>
      <c r="O34" s="84" t="s">
        <v>169</v>
      </c>
      <c r="P34" s="83">
        <v>580</v>
      </c>
      <c r="Q34" s="89"/>
      <c r="R34" s="18"/>
      <c r="U34" s="82"/>
      <c r="V34" s="85"/>
      <c r="W34" s="84" t="s">
        <v>169</v>
      </c>
      <c r="X34" s="83">
        <v>580</v>
      </c>
      <c r="Y34" s="89"/>
      <c r="Z34" s="18"/>
      <c r="AD34" s="173"/>
      <c r="AF34" s="48"/>
      <c r="AG34" s="56"/>
      <c r="AH34" s="182"/>
      <c r="AI34" s="77" t="s">
        <v>130</v>
      </c>
      <c r="AJ34" s="76">
        <v>2000</v>
      </c>
      <c r="AK34" s="75">
        <f>+AJ34/38</f>
        <v>52.631578947368418</v>
      </c>
      <c r="AL34"/>
      <c r="AM34"/>
      <c r="AN34"/>
    </row>
    <row r="35" spans="1:43" ht="15.75" x14ac:dyDescent="0.2">
      <c r="A35" s="194"/>
      <c r="B35" s="14"/>
      <c r="C35" s="14" t="s">
        <v>38</v>
      </c>
      <c r="D35">
        <v>19</v>
      </c>
      <c r="J35"/>
      <c r="L35" s="28"/>
      <c r="M35" s="85"/>
      <c r="N35" s="85"/>
      <c r="O35" s="81" t="s">
        <v>129</v>
      </c>
      <c r="P35" s="83">
        <v>8345</v>
      </c>
      <c r="Q35" s="80">
        <v>0.36</v>
      </c>
      <c r="R35" s="18"/>
      <c r="T35" s="60"/>
      <c r="U35" s="82"/>
      <c r="V35" s="85"/>
      <c r="W35" s="81" t="s">
        <v>129</v>
      </c>
      <c r="X35" s="83">
        <v>8345</v>
      </c>
      <c r="Y35" s="80">
        <v>0.36</v>
      </c>
      <c r="Z35" s="18"/>
      <c r="AC35" s="26"/>
      <c r="AD35" s="4"/>
      <c r="AF35" s="48"/>
      <c r="AG35" s="56"/>
      <c r="AH35" s="182"/>
      <c r="AI35" s="74" t="s">
        <v>131</v>
      </c>
      <c r="AJ35" s="73"/>
      <c r="AK35" s="19">
        <f>+AJ35/18</f>
        <v>0</v>
      </c>
      <c r="AL35"/>
      <c r="AM35"/>
      <c r="AN35"/>
    </row>
    <row r="36" spans="1:43" ht="16.5" thickBot="1" x14ac:dyDescent="0.25">
      <c r="A36" s="194"/>
      <c r="B36" s="14"/>
      <c r="C36" s="14" t="s">
        <v>39</v>
      </c>
      <c r="D36">
        <v>0</v>
      </c>
      <c r="J36"/>
      <c r="L36" s="26"/>
      <c r="M36" s="85"/>
      <c r="N36" s="85"/>
      <c r="O36" s="81" t="s">
        <v>121</v>
      </c>
      <c r="P36" s="83">
        <v>307</v>
      </c>
      <c r="Q36" s="80">
        <v>0.53</v>
      </c>
      <c r="R36" s="18"/>
      <c r="U36" s="78"/>
      <c r="V36" s="85"/>
      <c r="W36" s="81" t="s">
        <v>121</v>
      </c>
      <c r="X36" s="83">
        <v>307</v>
      </c>
      <c r="Y36" s="80">
        <v>0.53</v>
      </c>
      <c r="Z36" s="18"/>
      <c r="AC36" s="26"/>
      <c r="AD36" s="174"/>
      <c r="AF36" s="48"/>
      <c r="AG36" s="56"/>
      <c r="AH36" s="182"/>
      <c r="AI36" s="71" t="s">
        <v>133</v>
      </c>
      <c r="AJ36" s="70"/>
      <c r="AK36" s="69">
        <f>AJ36/18</f>
        <v>0</v>
      </c>
      <c r="AL36"/>
      <c r="AM36"/>
      <c r="AN36"/>
    </row>
    <row r="37" spans="1:43" ht="15.75" x14ac:dyDescent="0.2">
      <c r="A37" s="194"/>
      <c r="B37" s="15" t="s">
        <v>114</v>
      </c>
      <c r="C37" s="14"/>
      <c r="D37">
        <v>31</v>
      </c>
      <c r="J37"/>
      <c r="L37" s="26"/>
      <c r="M37" s="85"/>
      <c r="N37" s="85"/>
      <c r="O37" s="85" t="s">
        <v>132</v>
      </c>
      <c r="P37" s="83">
        <v>811</v>
      </c>
      <c r="Q37" s="80">
        <v>0.08</v>
      </c>
      <c r="R37" s="18"/>
      <c r="U37" s="78"/>
      <c r="V37" s="85"/>
      <c r="W37" s="85" t="s">
        <v>132</v>
      </c>
      <c r="X37" s="83">
        <v>811</v>
      </c>
      <c r="Y37" s="80">
        <v>0.08</v>
      </c>
      <c r="Z37" s="18"/>
      <c r="AB37" s="72"/>
      <c r="AC37" s="26"/>
      <c r="AE37" s="26"/>
      <c r="AF37" s="47"/>
      <c r="AG37" s="56"/>
      <c r="AH37" s="182"/>
      <c r="AJ37" s="27"/>
      <c r="AK37" s="16"/>
      <c r="AL37" s="28"/>
      <c r="AM37"/>
      <c r="AN37"/>
    </row>
    <row r="38" spans="1:43" x14ac:dyDescent="0.2">
      <c r="A38" s="194" t="s">
        <v>143</v>
      </c>
      <c r="B38" s="15" t="s">
        <v>111</v>
      </c>
      <c r="C38" s="14" t="s">
        <v>144</v>
      </c>
      <c r="D38">
        <v>10</v>
      </c>
      <c r="J38"/>
      <c r="M38" s="85"/>
      <c r="N38" s="85"/>
      <c r="O38" s="85" t="s">
        <v>134</v>
      </c>
      <c r="P38" s="26">
        <v>17</v>
      </c>
      <c r="Q38" s="80">
        <v>0.03</v>
      </c>
      <c r="R38" s="18"/>
      <c r="U38" s="78"/>
      <c r="V38" s="85"/>
      <c r="W38" s="85" t="s">
        <v>134</v>
      </c>
      <c r="X38" s="26">
        <v>17</v>
      </c>
      <c r="Y38" s="80">
        <v>0.03</v>
      </c>
      <c r="Z38" s="18"/>
      <c r="AC38" s="26"/>
      <c r="AD38"/>
      <c r="AE38" s="26"/>
      <c r="AF38" s="52"/>
      <c r="AG38" s="56"/>
      <c r="AI38" s="18"/>
      <c r="AJ38" s="27"/>
      <c r="AK38" s="16"/>
      <c r="AL38"/>
      <c r="AM38"/>
      <c r="AN38"/>
    </row>
    <row r="39" spans="1:43" ht="15.75" x14ac:dyDescent="0.2">
      <c r="A39" s="194"/>
      <c r="B39" s="14"/>
      <c r="C39" s="14" t="s">
        <v>145</v>
      </c>
      <c r="D39">
        <v>7</v>
      </c>
      <c r="J39"/>
      <c r="M39" s="85"/>
      <c r="N39" s="85"/>
      <c r="O39" s="85" t="s">
        <v>120</v>
      </c>
      <c r="P39" s="60" t="s">
        <v>180</v>
      </c>
      <c r="Q39" s="68">
        <v>1</v>
      </c>
      <c r="R39" s="26"/>
      <c r="U39" s="78"/>
      <c r="V39" s="85"/>
      <c r="W39" s="85" t="s">
        <v>120</v>
      </c>
      <c r="X39" s="60" t="s">
        <v>180</v>
      </c>
      <c r="Y39" s="68">
        <f>SUM(Y35:Y38)</f>
        <v>1</v>
      </c>
      <c r="AC39" s="26"/>
      <c r="AE39" s="26"/>
      <c r="AF39" s="48"/>
      <c r="AG39"/>
      <c r="AH39" s="182"/>
      <c r="AI39" s="16"/>
      <c r="AJ39" s="16"/>
      <c r="AK39" s="16"/>
      <c r="AL39"/>
      <c r="AM39"/>
      <c r="AN39"/>
    </row>
    <row r="40" spans="1:43" ht="15.75" x14ac:dyDescent="0.2">
      <c r="A40" s="194"/>
      <c r="B40" s="14"/>
      <c r="C40" s="14" t="s">
        <v>146</v>
      </c>
      <c r="D40">
        <v>0</v>
      </c>
      <c r="J40"/>
      <c r="M40" s="27"/>
      <c r="N40" s="27"/>
      <c r="O40" s="58"/>
      <c r="P40" s="18"/>
      <c r="Q40" s="18"/>
      <c r="T40" s="59"/>
      <c r="V40" s="34"/>
      <c r="W40" s="34"/>
      <c r="X40" s="18"/>
      <c r="AC40" s="177"/>
      <c r="AE40" s="26"/>
      <c r="AF40" s="48"/>
      <c r="AG40" s="56"/>
      <c r="AH40" s="182"/>
      <c r="AI40" s="67"/>
      <c r="AJ40" s="66"/>
      <c r="AK40" s="65"/>
      <c r="AL40"/>
      <c r="AM40"/>
      <c r="AN40"/>
    </row>
    <row r="41" spans="1:43" x14ac:dyDescent="0.2">
      <c r="A41" s="194"/>
      <c r="B41" s="15" t="s">
        <v>114</v>
      </c>
      <c r="C41" s="14"/>
      <c r="D41">
        <v>17</v>
      </c>
      <c r="J41"/>
      <c r="M41" s="27"/>
      <c r="N41" s="27"/>
      <c r="O41" s="58"/>
      <c r="V41" s="88"/>
      <c r="W41" s="18"/>
      <c r="X41" s="18"/>
      <c r="AE41" s="26"/>
      <c r="AF41"/>
      <c r="AG41" s="56"/>
      <c r="AH41" s="182"/>
      <c r="AI41" s="55"/>
      <c r="AJ41" s="54"/>
      <c r="AL41" s="16"/>
      <c r="AM41" s="16"/>
      <c r="AN41" s="109"/>
      <c r="AO41" s="109"/>
      <c r="AP41" s="109"/>
    </row>
    <row r="42" spans="1:43" x14ac:dyDescent="0.2">
      <c r="A42" s="194" t="s">
        <v>142</v>
      </c>
      <c r="B42" s="15" t="s">
        <v>111</v>
      </c>
      <c r="C42" s="14" t="s">
        <v>140</v>
      </c>
      <c r="D42">
        <v>11</v>
      </c>
      <c r="J42"/>
      <c r="M42" s="27"/>
      <c r="N42" s="27"/>
      <c r="O42" s="58"/>
      <c r="V42" s="36"/>
      <c r="W42" s="34"/>
      <c r="X42" s="18"/>
      <c r="AF42"/>
      <c r="AG42" s="56"/>
      <c r="AH42" s="182"/>
      <c r="AI42" s="55"/>
      <c r="AJ42" s="54"/>
      <c r="AL42" s="16"/>
      <c r="AM42" s="16"/>
      <c r="AN42" s="109"/>
      <c r="AO42" s="109"/>
      <c r="AP42" s="109"/>
    </row>
    <row r="43" spans="1:43" ht="15.75" x14ac:dyDescent="0.2">
      <c r="A43" s="194"/>
      <c r="B43" s="14"/>
      <c r="C43" s="14" t="s">
        <v>141</v>
      </c>
      <c r="D43">
        <v>8</v>
      </c>
      <c r="J43"/>
      <c r="M43" s="27"/>
      <c r="N43" s="27"/>
      <c r="O43" s="58"/>
      <c r="V43" s="88"/>
      <c r="W43" s="18"/>
      <c r="X43" s="18"/>
      <c r="AF43" s="47"/>
      <c r="AG43" s="56"/>
      <c r="AH43" s="182"/>
      <c r="AI43" s="55"/>
      <c r="AJ43" s="54"/>
      <c r="AL43" s="16"/>
      <c r="AM43" s="16"/>
      <c r="AN43" s="109"/>
      <c r="AO43" s="109"/>
      <c r="AP43" s="109"/>
    </row>
    <row r="44" spans="1:43" ht="15.75" x14ac:dyDescent="0.2">
      <c r="A44" s="194"/>
      <c r="B44" s="14"/>
      <c r="C44" s="14" t="s">
        <v>186</v>
      </c>
      <c r="D44">
        <v>0</v>
      </c>
      <c r="J44"/>
      <c r="M44" s="27"/>
      <c r="N44" s="27"/>
      <c r="O44" s="58"/>
      <c r="S44" s="18"/>
      <c r="V44" s="88"/>
      <c r="AF44" s="48"/>
      <c r="AG44" s="56"/>
      <c r="AH44" s="182"/>
      <c r="AI44" s="55"/>
      <c r="AJ44" s="54"/>
      <c r="AL44" s="16"/>
      <c r="AM44" s="16"/>
      <c r="AN44" s="109"/>
      <c r="AO44" s="109"/>
      <c r="AP44" s="109"/>
      <c r="AQ44" s="17"/>
    </row>
    <row r="45" spans="1:43" x14ac:dyDescent="0.2">
      <c r="A45" s="194"/>
      <c r="B45" s="15" t="s">
        <v>114</v>
      </c>
      <c r="C45" s="14"/>
      <c r="D45">
        <v>19</v>
      </c>
      <c r="J45"/>
      <c r="M45" s="27"/>
      <c r="N45" s="27"/>
      <c r="O45" s="58"/>
      <c r="S45" s="18"/>
      <c r="V45" s="83"/>
      <c r="AF45"/>
      <c r="AG45" s="56"/>
      <c r="AH45" s="182"/>
      <c r="AI45" s="55"/>
      <c r="AJ45" s="54"/>
      <c r="AL45" s="16"/>
      <c r="AM45" s="16"/>
      <c r="AN45" s="109"/>
      <c r="AO45" s="109"/>
      <c r="AP45" s="109"/>
      <c r="AQ45" s="17"/>
    </row>
    <row r="46" spans="1:43" x14ac:dyDescent="0.2">
      <c r="A46" s="194" t="s">
        <v>153</v>
      </c>
      <c r="B46" s="15" t="s">
        <v>111</v>
      </c>
      <c r="C46" s="14" t="s">
        <v>152</v>
      </c>
      <c r="D46">
        <v>8</v>
      </c>
      <c r="J46"/>
      <c r="M46" s="27"/>
      <c r="N46" s="27"/>
      <c r="O46" s="58"/>
      <c r="S46" s="18"/>
      <c r="AF46"/>
      <c r="AG46" s="56"/>
      <c r="AH46" s="182"/>
      <c r="AI46" s="55"/>
      <c r="AJ46" s="54"/>
      <c r="AL46" s="16"/>
      <c r="AM46" s="16"/>
      <c r="AN46" s="16"/>
      <c r="AO46" s="16"/>
      <c r="AP46" s="16"/>
    </row>
    <row r="47" spans="1:43" x14ac:dyDescent="0.2">
      <c r="A47" s="194"/>
      <c r="B47" s="14"/>
      <c r="C47" s="14" t="s">
        <v>154</v>
      </c>
      <c r="D47">
        <v>11</v>
      </c>
      <c r="J47"/>
      <c r="M47" s="27"/>
      <c r="N47" s="27"/>
      <c r="O47" s="58"/>
      <c r="S47" s="18"/>
      <c r="AF47"/>
      <c r="AG47" s="56"/>
      <c r="AH47" s="182"/>
      <c r="AI47" s="54"/>
      <c r="AJ47" s="55"/>
      <c r="AL47"/>
      <c r="AM47"/>
      <c r="AN47" s="16"/>
      <c r="AO47" s="16"/>
      <c r="AP47" s="16"/>
    </row>
    <row r="48" spans="1:43" x14ac:dyDescent="0.2">
      <c r="A48" s="194"/>
      <c r="B48" s="14"/>
      <c r="C48" s="14" t="s">
        <v>155</v>
      </c>
      <c r="D48">
        <v>4</v>
      </c>
      <c r="J48"/>
      <c r="M48" s="27"/>
      <c r="N48" s="27"/>
      <c r="O48" s="58"/>
      <c r="S48" s="18"/>
      <c r="AF48"/>
      <c r="AG48" s="56"/>
      <c r="AH48" s="182"/>
      <c r="AI48" s="54"/>
      <c r="AJ48" s="55"/>
      <c r="AL48"/>
      <c r="AM48"/>
      <c r="AN48" s="16"/>
      <c r="AO48" s="16"/>
      <c r="AP48" s="16"/>
    </row>
    <row r="49" spans="1:42" x14ac:dyDescent="0.2">
      <c r="A49" s="194"/>
      <c r="B49" s="15" t="s">
        <v>114</v>
      </c>
      <c r="C49" s="14"/>
      <c r="D49">
        <v>23</v>
      </c>
      <c r="E49" s="64"/>
      <c r="I49" s="64"/>
      <c r="J49"/>
      <c r="M49" s="27"/>
      <c r="N49" s="27"/>
      <c r="O49" s="58"/>
      <c r="AF49"/>
      <c r="AG49" s="56"/>
      <c r="AH49" s="182"/>
      <c r="AI49" s="27"/>
      <c r="AJ49" s="55"/>
      <c r="AL49"/>
      <c r="AM49"/>
      <c r="AN49" s="16"/>
      <c r="AO49" s="16"/>
      <c r="AP49" s="16"/>
    </row>
    <row r="50" spans="1:42" x14ac:dyDescent="0.2">
      <c r="A50" s="194" t="s">
        <v>175</v>
      </c>
      <c r="B50" s="15" t="s">
        <v>111</v>
      </c>
      <c r="C50" s="14" t="s">
        <v>173</v>
      </c>
      <c r="D50">
        <v>8</v>
      </c>
      <c r="J50"/>
      <c r="M50" s="27"/>
      <c r="N50" s="27"/>
      <c r="O50" s="58"/>
      <c r="AF50"/>
      <c r="AG50" s="56"/>
      <c r="AH50" s="182"/>
      <c r="AI50" s="54"/>
      <c r="AJ50" s="55"/>
      <c r="AL50"/>
      <c r="AM50"/>
      <c r="AN50" s="16"/>
      <c r="AO50" s="16"/>
      <c r="AP50" s="16"/>
    </row>
    <row r="51" spans="1:42" x14ac:dyDescent="0.2">
      <c r="A51" s="194"/>
      <c r="B51" s="14"/>
      <c r="C51" s="14" t="s">
        <v>176</v>
      </c>
      <c r="D51">
        <v>18</v>
      </c>
      <c r="J51"/>
      <c r="M51" s="27"/>
      <c r="N51" s="27"/>
      <c r="O51" s="58"/>
      <c r="AF51"/>
      <c r="AG51" s="56"/>
      <c r="AH51" s="182"/>
      <c r="AI51" s="55"/>
      <c r="AL51"/>
      <c r="AM51"/>
      <c r="AN51" s="16"/>
      <c r="AO51" s="16"/>
      <c r="AP51" s="16"/>
    </row>
    <row r="52" spans="1:42" x14ac:dyDescent="0.2">
      <c r="A52" s="194"/>
      <c r="B52" s="15" t="s">
        <v>114</v>
      </c>
      <c r="C52" s="14"/>
      <c r="D52">
        <v>26</v>
      </c>
      <c r="J52"/>
      <c r="M52" s="27"/>
      <c r="N52" s="27"/>
      <c r="O52" s="58"/>
      <c r="AF52"/>
      <c r="AG52" s="56"/>
      <c r="AH52" s="182"/>
      <c r="AL52"/>
      <c r="AM52"/>
      <c r="AN52" s="16"/>
      <c r="AO52" s="16"/>
      <c r="AP52" s="16"/>
    </row>
    <row r="53" spans="1:42" x14ac:dyDescent="0.2">
      <c r="A53" s="194" t="s">
        <v>53</v>
      </c>
      <c r="B53" s="15" t="s">
        <v>111</v>
      </c>
      <c r="C53" s="14" t="s">
        <v>54</v>
      </c>
      <c r="D53">
        <v>5</v>
      </c>
      <c r="J53"/>
      <c r="M53" s="27"/>
      <c r="N53" s="27"/>
      <c r="O53" s="58"/>
      <c r="AF53"/>
      <c r="AG53" s="56"/>
      <c r="AH53" s="182"/>
      <c r="AL53"/>
      <c r="AM53"/>
      <c r="AN53" s="16"/>
      <c r="AO53" s="16"/>
      <c r="AP53" s="16"/>
    </row>
    <row r="54" spans="1:42" x14ac:dyDescent="0.2">
      <c r="A54" s="194"/>
      <c r="B54" s="15" t="s">
        <v>114</v>
      </c>
      <c r="C54" s="14"/>
      <c r="D54">
        <v>5</v>
      </c>
      <c r="J54"/>
      <c r="M54" s="27"/>
      <c r="N54" s="27"/>
      <c r="O54" s="58"/>
      <c r="AF54"/>
      <c r="AG54" s="56"/>
      <c r="AH54" s="182"/>
      <c r="AL54"/>
      <c r="AM54"/>
      <c r="AN54" s="16"/>
      <c r="AO54" s="16"/>
      <c r="AP54" s="16"/>
    </row>
    <row r="55" spans="1:42" x14ac:dyDescent="0.2">
      <c r="A55" s="194" t="s">
        <v>57</v>
      </c>
      <c r="B55" s="15" t="s">
        <v>111</v>
      </c>
      <c r="C55" s="14" t="s">
        <v>57</v>
      </c>
      <c r="D55">
        <v>6</v>
      </c>
      <c r="J55"/>
      <c r="M55" s="27"/>
      <c r="N55" s="27"/>
      <c r="O55" s="58"/>
      <c r="AF55"/>
      <c r="AG55" s="56"/>
      <c r="AH55" s="182"/>
      <c r="AL55"/>
      <c r="AM55"/>
      <c r="AN55" s="16"/>
      <c r="AO55" s="16"/>
      <c r="AP55" s="16"/>
    </row>
    <row r="56" spans="1:42" x14ac:dyDescent="0.2">
      <c r="A56" s="194"/>
      <c r="B56" s="15" t="s">
        <v>114</v>
      </c>
      <c r="C56" s="14"/>
      <c r="D56">
        <v>6</v>
      </c>
      <c r="J56"/>
      <c r="M56" s="27"/>
      <c r="N56" s="27"/>
      <c r="O56" s="58"/>
      <c r="AF56"/>
      <c r="AG56" s="56"/>
      <c r="AH56" s="182"/>
      <c r="AL56"/>
      <c r="AM56"/>
      <c r="AN56" s="16"/>
      <c r="AO56" s="16"/>
      <c r="AP56" s="16"/>
    </row>
    <row r="57" spans="1:42" x14ac:dyDescent="0.2">
      <c r="A57" s="194" t="s">
        <v>58</v>
      </c>
      <c r="B57" s="15" t="s">
        <v>111</v>
      </c>
      <c r="C57" s="14" t="s">
        <v>59</v>
      </c>
      <c r="D57">
        <v>6</v>
      </c>
      <c r="M57" s="27"/>
      <c r="N57" s="27"/>
      <c r="O57" s="58"/>
      <c r="AF57"/>
      <c r="AG57" s="56"/>
      <c r="AH57" s="182"/>
      <c r="AK57" s="54"/>
      <c r="AL57"/>
      <c r="AM57"/>
      <c r="AN57" s="16"/>
      <c r="AO57" s="16"/>
      <c r="AP57" s="16"/>
    </row>
    <row r="58" spans="1:42" x14ac:dyDescent="0.2">
      <c r="A58" s="194"/>
      <c r="B58" s="14"/>
      <c r="C58" s="14" t="s">
        <v>60</v>
      </c>
      <c r="D58">
        <v>13</v>
      </c>
      <c r="M58" s="27"/>
      <c r="N58" s="27"/>
      <c r="O58" s="58"/>
      <c r="AF58"/>
      <c r="AG58" s="56"/>
      <c r="AH58" s="182"/>
      <c r="AL58"/>
      <c r="AM58"/>
      <c r="AN58" s="16"/>
      <c r="AO58" s="16"/>
      <c r="AP58" s="16"/>
    </row>
    <row r="59" spans="1:42" x14ac:dyDescent="0.2">
      <c r="A59" s="194"/>
      <c r="B59" s="15" t="s">
        <v>114</v>
      </c>
      <c r="C59" s="14"/>
      <c r="D59">
        <v>19</v>
      </c>
      <c r="M59" s="27"/>
      <c r="N59" s="27"/>
      <c r="O59" s="58"/>
      <c r="AF59"/>
      <c r="AG59" s="56"/>
      <c r="AH59" s="182"/>
      <c r="AL59"/>
      <c r="AM59"/>
      <c r="AN59" s="16"/>
      <c r="AO59" s="16"/>
      <c r="AP59" s="16"/>
    </row>
    <row r="60" spans="1:42" x14ac:dyDescent="0.2">
      <c r="A60" s="194" t="s">
        <v>61</v>
      </c>
      <c r="B60" s="15" t="s">
        <v>111</v>
      </c>
      <c r="C60" s="14" t="s">
        <v>62</v>
      </c>
      <c r="D60">
        <v>4</v>
      </c>
      <c r="M60" s="27"/>
      <c r="N60" s="27"/>
      <c r="O60" s="58"/>
      <c r="AF60"/>
      <c r="AG60" s="56"/>
      <c r="AH60" s="182"/>
      <c r="AL60"/>
      <c r="AM60"/>
      <c r="AN60" s="16"/>
      <c r="AO60" s="16"/>
      <c r="AP60" s="16"/>
    </row>
    <row r="61" spans="1:42" x14ac:dyDescent="0.2">
      <c r="A61" s="194"/>
      <c r="B61" s="14"/>
      <c r="C61" s="14" t="s">
        <v>63</v>
      </c>
      <c r="D61">
        <v>2</v>
      </c>
      <c r="M61" s="27"/>
      <c r="N61" s="27"/>
      <c r="O61" s="58"/>
      <c r="AF61"/>
      <c r="AG61" s="56"/>
      <c r="AH61" s="182"/>
      <c r="AL61"/>
      <c r="AM61"/>
      <c r="AN61" s="16"/>
      <c r="AO61" s="16"/>
      <c r="AP61" s="16"/>
    </row>
    <row r="62" spans="1:42" x14ac:dyDescent="0.2">
      <c r="A62" s="194"/>
      <c r="B62" s="14"/>
      <c r="C62" s="14" t="s">
        <v>64</v>
      </c>
      <c r="D62">
        <v>1</v>
      </c>
      <c r="M62" s="27"/>
      <c r="N62" s="27"/>
      <c r="O62" s="58"/>
      <c r="AF62"/>
      <c r="AG62" s="56"/>
      <c r="AH62" s="182"/>
      <c r="AL62"/>
      <c r="AM62"/>
      <c r="AN62" s="16"/>
      <c r="AO62" s="16"/>
      <c r="AP62" s="16"/>
    </row>
    <row r="63" spans="1:42" x14ac:dyDescent="0.2">
      <c r="A63" s="194"/>
      <c r="B63" s="15" t="s">
        <v>114</v>
      </c>
      <c r="C63" s="14"/>
      <c r="D63">
        <v>7</v>
      </c>
      <c r="M63" s="27"/>
      <c r="N63" s="27"/>
      <c r="O63" s="58"/>
      <c r="AF63"/>
      <c r="AG63" s="56"/>
      <c r="AH63" s="182"/>
      <c r="AL63"/>
      <c r="AM63"/>
      <c r="AN63" s="16"/>
      <c r="AO63" s="16"/>
      <c r="AP63" s="16"/>
    </row>
    <row r="64" spans="1:42" x14ac:dyDescent="0.2">
      <c r="A64" s="194" t="s">
        <v>65</v>
      </c>
      <c r="B64" s="15" t="s">
        <v>111</v>
      </c>
      <c r="C64" s="14" t="s">
        <v>66</v>
      </c>
      <c r="D64">
        <v>4</v>
      </c>
      <c r="M64" s="27"/>
      <c r="N64" s="27"/>
      <c r="O64" s="58"/>
      <c r="AF64"/>
      <c r="AG64" s="56"/>
      <c r="AH64" s="182"/>
      <c r="AL64"/>
      <c r="AM64"/>
      <c r="AN64" s="16"/>
      <c r="AO64" s="16"/>
      <c r="AP64" s="16"/>
    </row>
    <row r="65" spans="1:42" x14ac:dyDescent="0.2">
      <c r="A65" s="194"/>
      <c r="B65" s="14"/>
      <c r="C65" s="14" t="s">
        <v>67</v>
      </c>
      <c r="D65">
        <v>5</v>
      </c>
      <c r="M65" s="27"/>
      <c r="N65" s="27"/>
      <c r="O65" s="58"/>
      <c r="AF65"/>
      <c r="AG65" s="56"/>
      <c r="AH65" s="182"/>
      <c r="AL65"/>
      <c r="AM65"/>
      <c r="AN65" s="16"/>
      <c r="AO65" s="16"/>
      <c r="AP65" s="16"/>
    </row>
    <row r="66" spans="1:42" x14ac:dyDescent="0.2">
      <c r="A66" s="194"/>
      <c r="B66" s="14"/>
      <c r="C66" s="14" t="s">
        <v>68</v>
      </c>
      <c r="D66">
        <v>-4</v>
      </c>
      <c r="M66" s="27"/>
      <c r="N66" s="27"/>
      <c r="O66" s="58"/>
      <c r="AF66"/>
      <c r="AG66" s="56"/>
      <c r="AH66" s="182"/>
      <c r="AL66"/>
      <c r="AM66"/>
      <c r="AN66" s="16"/>
      <c r="AO66" s="16"/>
      <c r="AP66" s="16"/>
    </row>
    <row r="67" spans="1:42" x14ac:dyDescent="0.2">
      <c r="A67" s="194"/>
      <c r="B67" s="15" t="s">
        <v>114</v>
      </c>
      <c r="C67" s="14"/>
      <c r="D67">
        <v>5</v>
      </c>
      <c r="M67" s="27"/>
      <c r="N67" s="27"/>
      <c r="O67" s="58"/>
      <c r="AF67"/>
      <c r="AG67" s="56"/>
      <c r="AH67" s="182"/>
      <c r="AL67"/>
      <c r="AM67"/>
      <c r="AN67" s="16"/>
      <c r="AO67" s="16"/>
      <c r="AP67" s="16"/>
    </row>
    <row r="68" spans="1:42" x14ac:dyDescent="0.2">
      <c r="A68" s="194" t="s">
        <v>150</v>
      </c>
      <c r="B68" s="15" t="s">
        <v>111</v>
      </c>
      <c r="C68" s="14" t="s">
        <v>151</v>
      </c>
      <c r="D68">
        <v>0</v>
      </c>
      <c r="M68" s="27"/>
      <c r="N68" s="27"/>
      <c r="O68" s="58"/>
      <c r="AF68"/>
      <c r="AG68" s="56"/>
      <c r="AH68" s="182"/>
      <c r="AL68"/>
      <c r="AM68"/>
      <c r="AN68" s="16"/>
      <c r="AO68" s="16"/>
      <c r="AP68" s="16"/>
    </row>
    <row r="69" spans="1:42" x14ac:dyDescent="0.2">
      <c r="A69" s="194"/>
      <c r="B69" s="15" t="s">
        <v>114</v>
      </c>
      <c r="C69" s="14"/>
      <c r="D69">
        <v>0</v>
      </c>
      <c r="M69" s="27"/>
      <c r="N69" s="27"/>
      <c r="O69" s="58"/>
      <c r="Y69" s="72"/>
      <c r="Z69" s="72"/>
      <c r="AF69"/>
      <c r="AG69" s="56"/>
      <c r="AH69" s="182"/>
      <c r="AL69"/>
      <c r="AM69"/>
      <c r="AN69" s="16"/>
      <c r="AO69" s="16"/>
      <c r="AP69" s="16"/>
    </row>
    <row r="70" spans="1:42" x14ac:dyDescent="0.2">
      <c r="A70" s="194" t="s">
        <v>139</v>
      </c>
      <c r="B70" s="15" t="s">
        <v>111</v>
      </c>
      <c r="C70" s="14" t="s">
        <v>135</v>
      </c>
      <c r="D70">
        <v>18</v>
      </c>
      <c r="J70" s="63"/>
      <c r="K70" s="54"/>
      <c r="M70" s="27"/>
      <c r="N70" s="27"/>
      <c r="O70" s="58"/>
      <c r="Y70" s="72"/>
      <c r="Z70" s="72"/>
      <c r="AF70"/>
      <c r="AG70" s="56"/>
      <c r="AH70" s="182"/>
      <c r="AL70"/>
      <c r="AM70"/>
      <c r="AN70" s="16"/>
      <c r="AO70" s="16"/>
      <c r="AP70" s="16"/>
    </row>
    <row r="71" spans="1:42" x14ac:dyDescent="0.2">
      <c r="A71" s="194"/>
      <c r="B71" s="14"/>
      <c r="C71" s="14" t="s">
        <v>136</v>
      </c>
      <c r="D71">
        <v>10</v>
      </c>
      <c r="J71" s="63"/>
      <c r="K71" s="54"/>
      <c r="M71" s="27"/>
      <c r="N71" s="27"/>
      <c r="O71" s="58"/>
      <c r="Y71" s="72"/>
      <c r="Z71" s="72"/>
      <c r="AA71" s="72"/>
      <c r="AB71" s="72"/>
      <c r="AF71"/>
      <c r="AG71" s="56"/>
      <c r="AH71" s="182"/>
      <c r="AL71"/>
      <c r="AM71"/>
      <c r="AN71" s="16"/>
      <c r="AO71" s="16"/>
      <c r="AP71" s="16"/>
    </row>
    <row r="72" spans="1:42" x14ac:dyDescent="0.2">
      <c r="A72" s="194"/>
      <c r="B72" s="14"/>
      <c r="C72" s="14" t="s">
        <v>137</v>
      </c>
      <c r="D72">
        <v>5</v>
      </c>
      <c r="J72" s="63"/>
      <c r="K72" s="54"/>
      <c r="M72" s="27"/>
      <c r="N72" s="27"/>
      <c r="O72" s="58"/>
      <c r="Y72" s="72"/>
      <c r="Z72" s="72"/>
      <c r="AA72" s="72"/>
      <c r="AB72" s="72"/>
      <c r="AF72"/>
      <c r="AG72" s="56"/>
      <c r="AH72" s="182"/>
      <c r="AL72"/>
      <c r="AM72"/>
      <c r="AN72" s="16"/>
      <c r="AO72" s="16"/>
      <c r="AP72" s="16"/>
    </row>
    <row r="73" spans="1:42" x14ac:dyDescent="0.2">
      <c r="A73" s="194"/>
      <c r="B73" s="14"/>
      <c r="C73" s="14" t="s">
        <v>138</v>
      </c>
      <c r="D73">
        <v>4</v>
      </c>
      <c r="J73" s="63"/>
      <c r="K73" s="54"/>
      <c r="M73" s="27"/>
      <c r="N73" s="27"/>
      <c r="O73" s="58"/>
      <c r="Y73" s="72"/>
      <c r="Z73" s="72"/>
      <c r="AA73" s="72"/>
      <c r="AB73" s="72"/>
      <c r="AF73"/>
      <c r="AG73" s="56"/>
      <c r="AH73" s="182"/>
      <c r="AL73"/>
      <c r="AM73"/>
      <c r="AN73" s="16"/>
      <c r="AO73" s="16"/>
      <c r="AP73" s="16"/>
    </row>
    <row r="74" spans="1:42" x14ac:dyDescent="0.2">
      <c r="A74" s="194"/>
      <c r="B74" s="15" t="s">
        <v>114</v>
      </c>
      <c r="C74" s="14"/>
      <c r="D74">
        <v>37</v>
      </c>
      <c r="J74" s="63"/>
      <c r="K74" s="54"/>
      <c r="M74" s="27"/>
      <c r="N74" s="27"/>
      <c r="O74" s="58"/>
      <c r="V74" s="72"/>
      <c r="W74" s="72"/>
      <c r="X74" s="72"/>
      <c r="Y74" s="72"/>
      <c r="Z74" s="72"/>
      <c r="AA74" s="72"/>
      <c r="AB74" s="72"/>
      <c r="AF74"/>
      <c r="AG74" s="56"/>
      <c r="AH74" s="182"/>
      <c r="AL74"/>
      <c r="AM74"/>
      <c r="AN74" s="16"/>
      <c r="AO74" s="16"/>
      <c r="AP74" s="16"/>
    </row>
    <row r="75" spans="1:42" x14ac:dyDescent="0.2">
      <c r="A75" s="194" t="s">
        <v>69</v>
      </c>
      <c r="B75" s="15" t="s">
        <v>111</v>
      </c>
      <c r="C75" s="14" t="s">
        <v>70</v>
      </c>
      <c r="D75">
        <v>4</v>
      </c>
      <c r="E75" s="62"/>
      <c r="F75" s="62"/>
      <c r="G75" s="62"/>
      <c r="H75" s="62"/>
      <c r="J75" s="63"/>
      <c r="K75" s="54"/>
      <c r="M75" s="27"/>
      <c r="N75" s="27"/>
      <c r="O75" s="58"/>
      <c r="V75" s="72"/>
      <c r="W75" s="72"/>
      <c r="X75" s="72"/>
      <c r="Y75" s="72"/>
      <c r="Z75" s="72"/>
      <c r="AA75" s="72"/>
      <c r="AB75" s="72"/>
      <c r="AF75"/>
      <c r="AG75" s="56"/>
      <c r="AH75" s="182"/>
      <c r="AJ75" s="55"/>
      <c r="AK75" s="54"/>
      <c r="AL75"/>
      <c r="AM75"/>
      <c r="AN75" s="16"/>
      <c r="AO75" s="16"/>
      <c r="AP75" s="16"/>
    </row>
    <row r="76" spans="1:42" x14ac:dyDescent="0.2">
      <c r="A76" s="194"/>
      <c r="B76" s="14"/>
      <c r="C76" s="14" t="s">
        <v>93</v>
      </c>
      <c r="D76">
        <v>2</v>
      </c>
      <c r="J76" s="63"/>
      <c r="K76" s="54"/>
      <c r="L76" s="63"/>
      <c r="M76" s="27"/>
      <c r="N76" s="27"/>
      <c r="O76" s="58"/>
      <c r="V76" s="72"/>
      <c r="W76" s="72"/>
      <c r="X76" s="72"/>
      <c r="AA76" s="72"/>
      <c r="AB76" s="72"/>
      <c r="AF76"/>
      <c r="AG76" s="56"/>
      <c r="AH76" s="182"/>
      <c r="AJ76" s="55"/>
      <c r="AK76" s="54"/>
      <c r="AL76"/>
      <c r="AM76"/>
      <c r="AN76" s="16"/>
      <c r="AO76" s="16"/>
      <c r="AP76" s="16"/>
    </row>
    <row r="77" spans="1:42" ht="15.75" x14ac:dyDescent="0.2">
      <c r="A77" s="194"/>
      <c r="B77" s="14"/>
      <c r="C77" s="14" t="s">
        <v>71</v>
      </c>
      <c r="D77">
        <v>1</v>
      </c>
      <c r="L77" s="63"/>
      <c r="M77" s="27"/>
      <c r="N77" s="27"/>
      <c r="O77" s="58"/>
      <c r="V77" s="72"/>
      <c r="W77" s="72"/>
      <c r="X77" s="72"/>
      <c r="AA77" s="72"/>
      <c r="AB77" s="72"/>
      <c r="AF77" s="48"/>
      <c r="AG77" s="56"/>
      <c r="AH77" s="182"/>
      <c r="AJ77" s="55"/>
      <c r="AK77" s="54"/>
      <c r="AL77"/>
      <c r="AM77"/>
      <c r="AN77" s="16"/>
      <c r="AO77" s="16"/>
      <c r="AP77" s="16"/>
    </row>
    <row r="78" spans="1:42" x14ac:dyDescent="0.2">
      <c r="A78" s="194"/>
      <c r="B78" s="14"/>
      <c r="C78" s="14" t="s">
        <v>72</v>
      </c>
      <c r="D78">
        <v>3</v>
      </c>
      <c r="L78" s="63"/>
      <c r="M78" s="27"/>
      <c r="N78" s="27"/>
      <c r="O78" s="58"/>
      <c r="V78" s="72"/>
      <c r="W78" s="72"/>
      <c r="X78" s="72"/>
      <c r="AF78"/>
      <c r="AG78" s="56"/>
      <c r="AH78" s="182"/>
      <c r="AL78"/>
      <c r="AM78"/>
      <c r="AN78" s="16"/>
      <c r="AO78" s="16"/>
      <c r="AP78" s="16"/>
    </row>
    <row r="79" spans="1:42" ht="13.5" thickBot="1" x14ac:dyDescent="0.25">
      <c r="A79" s="194"/>
      <c r="B79" s="15" t="s">
        <v>114</v>
      </c>
      <c r="C79" s="14"/>
      <c r="D79">
        <v>10</v>
      </c>
      <c r="L79" s="63"/>
      <c r="M79" s="27"/>
      <c r="N79" s="27"/>
      <c r="O79" s="58"/>
      <c r="V79" s="72"/>
      <c r="W79" s="72"/>
      <c r="X79" s="72"/>
      <c r="AF79"/>
      <c r="AG79" s="56"/>
      <c r="AH79" s="182"/>
      <c r="AL79"/>
      <c r="AM79"/>
      <c r="AN79" s="16"/>
      <c r="AO79" s="16"/>
      <c r="AP79" s="16"/>
    </row>
    <row r="80" spans="1:42" ht="15" thickBot="1" x14ac:dyDescent="0.25">
      <c r="A80" s="194" t="s">
        <v>111</v>
      </c>
      <c r="B80" s="15" t="s">
        <v>111</v>
      </c>
      <c r="C80" s="14" t="s">
        <v>111</v>
      </c>
      <c r="L80" s="63"/>
      <c r="M80" s="27"/>
      <c r="N80" s="27"/>
      <c r="O80" s="58"/>
      <c r="R80" s="61"/>
      <c r="S80" s="89"/>
      <c r="T80" s="72"/>
      <c r="V80" s="72"/>
      <c r="W80" s="72"/>
      <c r="X80" s="72"/>
      <c r="AF80" s="179"/>
      <c r="AG80" s="56"/>
      <c r="AH80" s="182"/>
      <c r="AL80"/>
      <c r="AM80"/>
      <c r="AN80" s="16"/>
      <c r="AO80" s="16"/>
      <c r="AP80" s="16"/>
    </row>
    <row r="81" spans="1:42" x14ac:dyDescent="0.2">
      <c r="A81" s="194"/>
      <c r="B81" s="15" t="s">
        <v>114</v>
      </c>
      <c r="C81" s="14"/>
      <c r="L81" s="63"/>
      <c r="M81" s="27"/>
      <c r="N81" s="27"/>
      <c r="O81" s="58"/>
      <c r="R81" s="61"/>
      <c r="S81" s="89"/>
      <c r="T81" s="72"/>
      <c r="AF81"/>
      <c r="AG81" s="56"/>
      <c r="AH81" s="182"/>
      <c r="AL81"/>
      <c r="AM81"/>
      <c r="AN81" s="16"/>
      <c r="AO81" s="16"/>
      <c r="AP81" s="16"/>
    </row>
    <row r="82" spans="1:42" x14ac:dyDescent="0.2">
      <c r="A82" s="194" t="s">
        <v>118</v>
      </c>
      <c r="B82" s="194"/>
      <c r="C82" s="194"/>
      <c r="D82">
        <v>328</v>
      </c>
      <c r="L82" s="63"/>
      <c r="M82" s="61"/>
      <c r="N82" s="61"/>
      <c r="O82" s="61"/>
      <c r="R82" s="61"/>
      <c r="S82" s="89"/>
      <c r="T82" s="72"/>
      <c r="AF82"/>
      <c r="AG82" s="56"/>
      <c r="AH82" s="182"/>
      <c r="AL82"/>
      <c r="AM82"/>
      <c r="AN82" s="16"/>
      <c r="AO82" s="16"/>
      <c r="AP82" s="16"/>
    </row>
    <row r="83" spans="1:42" x14ac:dyDescent="0.2">
      <c r="A83"/>
      <c r="C83"/>
      <c r="M83" s="61"/>
      <c r="N83" s="61"/>
      <c r="O83" s="61"/>
      <c r="AF83" s="175"/>
      <c r="AG83" s="56"/>
      <c r="AH83" s="182"/>
      <c r="AL83"/>
      <c r="AM83"/>
      <c r="AN83" s="16"/>
      <c r="AO83" s="16"/>
      <c r="AP83" s="16"/>
    </row>
    <row r="84" spans="1:42" x14ac:dyDescent="0.2">
      <c r="A84"/>
      <c r="C84"/>
      <c r="M84" s="61"/>
      <c r="N84" s="61"/>
      <c r="O84" s="61"/>
      <c r="AF84" s="175"/>
      <c r="AG84" s="56"/>
      <c r="AH84" s="182"/>
      <c r="AL84"/>
      <c r="AM84"/>
      <c r="AN84" s="16"/>
      <c r="AO84" s="16"/>
      <c r="AP84" s="16"/>
    </row>
    <row r="85" spans="1:42" x14ac:dyDescent="0.2">
      <c r="A85"/>
      <c r="C85"/>
      <c r="AF85" s="175"/>
      <c r="AG85" s="56"/>
      <c r="AH85" s="182"/>
      <c r="AL85"/>
      <c r="AM85"/>
      <c r="AN85" s="16"/>
      <c r="AO85" s="16"/>
      <c r="AP85" s="16"/>
    </row>
    <row r="86" spans="1:42" x14ac:dyDescent="0.2">
      <c r="A86"/>
      <c r="C86"/>
      <c r="AF86" s="175"/>
      <c r="AG86" s="56"/>
      <c r="AH86" s="182"/>
      <c r="AL86"/>
      <c r="AM86"/>
      <c r="AN86" s="16"/>
      <c r="AO86" s="16"/>
      <c r="AP86" s="16"/>
    </row>
    <row r="87" spans="1:42" x14ac:dyDescent="0.2">
      <c r="A87"/>
      <c r="C87"/>
      <c r="AF87" s="175"/>
      <c r="AG87" s="56"/>
      <c r="AH87" s="182"/>
      <c r="AL87"/>
      <c r="AM87"/>
      <c r="AN87" s="16"/>
      <c r="AO87" s="16"/>
      <c r="AP87" s="16"/>
    </row>
    <row r="88" spans="1:42" x14ac:dyDescent="0.2">
      <c r="A88"/>
      <c r="C88"/>
      <c r="AF88" s="175"/>
      <c r="AG88" s="56"/>
      <c r="AH88" s="182"/>
      <c r="AL88"/>
      <c r="AM88"/>
      <c r="AN88" s="16"/>
      <c r="AO88" s="16"/>
      <c r="AP88" s="16"/>
    </row>
    <row r="89" spans="1:42" x14ac:dyDescent="0.2">
      <c r="A89"/>
      <c r="C89"/>
      <c r="AF89" s="175"/>
      <c r="AG89" s="56"/>
      <c r="AH89" s="182"/>
      <c r="AL89"/>
      <c r="AM89"/>
      <c r="AN89" s="16"/>
      <c r="AO89" s="16"/>
      <c r="AP89" s="16"/>
    </row>
    <row r="90" spans="1:42" x14ac:dyDescent="0.2">
      <c r="A90"/>
      <c r="C90"/>
      <c r="AF90" s="175"/>
      <c r="AG90" s="56"/>
      <c r="AH90" s="182"/>
      <c r="AL90"/>
      <c r="AM90"/>
      <c r="AN90" s="16"/>
      <c r="AO90" s="16"/>
      <c r="AP90" s="16"/>
    </row>
    <row r="91" spans="1:42" x14ac:dyDescent="0.2">
      <c r="A91"/>
      <c r="C91"/>
      <c r="AF91" s="175"/>
      <c r="AG91" s="56"/>
      <c r="AH91" s="182"/>
      <c r="AL91"/>
      <c r="AM91"/>
      <c r="AN91" s="16"/>
      <c r="AO91" s="16"/>
      <c r="AP91" s="16"/>
    </row>
    <row r="92" spans="1:42" x14ac:dyDescent="0.2">
      <c r="A92"/>
      <c r="C92"/>
      <c r="AF92" s="175"/>
      <c r="AG92" s="56"/>
      <c r="AH92" s="182"/>
      <c r="AL92"/>
      <c r="AM92"/>
      <c r="AN92" s="16"/>
      <c r="AO92" s="16"/>
      <c r="AP92" s="16"/>
    </row>
    <row r="93" spans="1:42" x14ac:dyDescent="0.2">
      <c r="A93"/>
      <c r="C93"/>
      <c r="AF93" s="175"/>
      <c r="AG93" s="56"/>
      <c r="AH93" s="182"/>
      <c r="AL93"/>
      <c r="AM93"/>
      <c r="AN93" s="16"/>
      <c r="AO93" s="16"/>
      <c r="AP93" s="16"/>
    </row>
    <row r="94" spans="1:42" x14ac:dyDescent="0.2">
      <c r="A94"/>
      <c r="C94"/>
      <c r="AF94" s="175"/>
      <c r="AG94" s="56"/>
      <c r="AH94" s="182"/>
      <c r="AL94"/>
      <c r="AM94"/>
      <c r="AN94" s="16"/>
      <c r="AO94" s="16"/>
      <c r="AP94" s="16"/>
    </row>
    <row r="95" spans="1:42" x14ac:dyDescent="0.2">
      <c r="A95"/>
      <c r="C95"/>
      <c r="AF95" s="175"/>
      <c r="AG95" s="56"/>
      <c r="AH95" s="182"/>
      <c r="AL95"/>
      <c r="AM95"/>
      <c r="AN95" s="16"/>
      <c r="AO95" s="16"/>
      <c r="AP95" s="16"/>
    </row>
    <row r="96" spans="1:42" x14ac:dyDescent="0.2">
      <c r="A96"/>
      <c r="C96"/>
      <c r="AF96" s="175"/>
      <c r="AG96" s="56"/>
      <c r="AH96" s="182"/>
      <c r="AL96"/>
      <c r="AM96"/>
      <c r="AN96" s="16"/>
      <c r="AO96" s="16"/>
      <c r="AP96" s="16"/>
    </row>
    <row r="97" spans="1:42" x14ac:dyDescent="0.2">
      <c r="A97"/>
      <c r="C97"/>
      <c r="AF97" s="175"/>
      <c r="AG97" s="56"/>
      <c r="AH97" s="182"/>
      <c r="AL97"/>
      <c r="AM97"/>
      <c r="AN97" s="16"/>
      <c r="AO97" s="16"/>
      <c r="AP97" s="16"/>
    </row>
    <row r="98" spans="1:42" x14ac:dyDescent="0.2">
      <c r="A98"/>
      <c r="C98"/>
      <c r="AF98" s="175"/>
      <c r="AG98" s="56"/>
      <c r="AH98" s="182"/>
      <c r="AL98"/>
      <c r="AM98"/>
      <c r="AN98" s="16"/>
      <c r="AO98" s="16"/>
      <c r="AP98" s="16"/>
    </row>
    <row r="99" spans="1:42" x14ac:dyDescent="0.2">
      <c r="A99"/>
      <c r="C99"/>
      <c r="AF99" s="175"/>
      <c r="AG99" s="56"/>
      <c r="AH99" s="182"/>
      <c r="AL99"/>
      <c r="AM99"/>
      <c r="AN99" s="16"/>
      <c r="AO99" s="16"/>
      <c r="AP99" s="16"/>
    </row>
    <row r="100" spans="1:42" x14ac:dyDescent="0.2">
      <c r="A100"/>
      <c r="C100"/>
      <c r="AF100" s="175"/>
      <c r="AG100" s="56"/>
      <c r="AH100" s="182"/>
      <c r="AL100"/>
      <c r="AM100"/>
      <c r="AN100" s="16"/>
      <c r="AO100" s="16"/>
      <c r="AP100" s="16"/>
    </row>
    <row r="101" spans="1:42" x14ac:dyDescent="0.2">
      <c r="A101"/>
      <c r="C101"/>
      <c r="AF101" s="175"/>
      <c r="AG101" s="56"/>
      <c r="AH101" s="182"/>
      <c r="AL101"/>
      <c r="AM101"/>
      <c r="AN101" s="16"/>
      <c r="AO101" s="16"/>
      <c r="AP101" s="16"/>
    </row>
    <row r="102" spans="1:42" x14ac:dyDescent="0.2">
      <c r="A102"/>
      <c r="C102"/>
      <c r="AF102" s="175"/>
      <c r="AG102" s="56"/>
      <c r="AH102" s="182"/>
      <c r="AL102"/>
      <c r="AM102"/>
      <c r="AN102" s="16"/>
      <c r="AO102" s="16"/>
      <c r="AP102" s="16"/>
    </row>
    <row r="103" spans="1:42" x14ac:dyDescent="0.2">
      <c r="A103"/>
      <c r="C103"/>
      <c r="AF103" s="175"/>
      <c r="AG103" s="56"/>
      <c r="AH103" s="182"/>
      <c r="AL103"/>
      <c r="AM103"/>
      <c r="AN103" s="16"/>
      <c r="AO103" s="16"/>
      <c r="AP103" s="16"/>
    </row>
    <row r="104" spans="1:42" x14ac:dyDescent="0.2">
      <c r="A104"/>
      <c r="C104"/>
      <c r="AF104" s="175"/>
      <c r="AG104" s="56"/>
      <c r="AH104" s="182"/>
      <c r="AL104"/>
      <c r="AM104"/>
      <c r="AN104" s="16"/>
      <c r="AO104" s="16"/>
      <c r="AP104" s="16"/>
    </row>
    <row r="105" spans="1:42" x14ac:dyDescent="0.2">
      <c r="A105"/>
      <c r="C105"/>
      <c r="AF105" s="175"/>
      <c r="AG105" s="56"/>
      <c r="AH105" s="182"/>
      <c r="AL105"/>
      <c r="AM105"/>
      <c r="AN105" s="16"/>
      <c r="AO105" s="16"/>
      <c r="AP105" s="16"/>
    </row>
    <row r="106" spans="1:42" x14ac:dyDescent="0.2">
      <c r="A106"/>
      <c r="C106"/>
      <c r="AF106" s="175"/>
      <c r="AG106" s="56"/>
      <c r="AH106" s="182"/>
      <c r="AL106"/>
      <c r="AM106"/>
      <c r="AN106" s="16"/>
      <c r="AO106" s="16"/>
      <c r="AP106" s="16"/>
    </row>
    <row r="107" spans="1:42" x14ac:dyDescent="0.2">
      <c r="A107"/>
      <c r="C107"/>
      <c r="AF107" s="175"/>
      <c r="AG107" s="56"/>
      <c r="AH107" s="182"/>
      <c r="AL107"/>
      <c r="AM107"/>
      <c r="AN107" s="16"/>
      <c r="AO107" s="16"/>
      <c r="AP107" s="16"/>
    </row>
    <row r="108" spans="1:42" x14ac:dyDescent="0.2">
      <c r="A108"/>
      <c r="C108"/>
      <c r="AF108" s="175"/>
      <c r="AG108" s="56"/>
      <c r="AH108" s="182"/>
      <c r="AL108"/>
      <c r="AM108"/>
      <c r="AN108" s="16"/>
      <c r="AO108" s="16"/>
      <c r="AP108" s="16"/>
    </row>
    <row r="109" spans="1:42" x14ac:dyDescent="0.2">
      <c r="A109"/>
      <c r="C109"/>
      <c r="AF109" s="175"/>
      <c r="AG109" s="56"/>
      <c r="AH109" s="182"/>
      <c r="AL109"/>
      <c r="AM109"/>
      <c r="AN109" s="16"/>
      <c r="AO109" s="16"/>
      <c r="AP109" s="16"/>
    </row>
    <row r="110" spans="1:42" x14ac:dyDescent="0.2">
      <c r="A110"/>
      <c r="C110"/>
      <c r="AF110" s="175"/>
      <c r="AG110" s="56"/>
      <c r="AH110" s="182"/>
      <c r="AL110"/>
      <c r="AM110"/>
      <c r="AN110" s="16"/>
      <c r="AO110" s="16"/>
      <c r="AP110" s="16"/>
    </row>
    <row r="111" spans="1:42" x14ac:dyDescent="0.2">
      <c r="A111"/>
      <c r="C111"/>
      <c r="AF111" s="175"/>
      <c r="AG111" s="56"/>
      <c r="AH111" s="182"/>
      <c r="AL111"/>
      <c r="AM111"/>
      <c r="AN111" s="16"/>
      <c r="AO111" s="16"/>
      <c r="AP111" s="16"/>
    </row>
    <row r="112" spans="1:42" x14ac:dyDescent="0.2">
      <c r="A112"/>
      <c r="C112"/>
      <c r="AF112" s="175"/>
      <c r="AG112" s="56"/>
      <c r="AH112" s="182"/>
      <c r="AL112"/>
      <c r="AM112"/>
      <c r="AN112" s="16"/>
      <c r="AO112" s="16"/>
      <c r="AP112" s="16"/>
    </row>
    <row r="113" spans="1:42" x14ac:dyDescent="0.2">
      <c r="A113"/>
      <c r="C113"/>
      <c r="AF113" s="175"/>
      <c r="AG113" s="56"/>
      <c r="AH113" s="182"/>
      <c r="AL113"/>
      <c r="AM113"/>
      <c r="AN113" s="16"/>
      <c r="AO113" s="16"/>
      <c r="AP113" s="16"/>
    </row>
    <row r="114" spans="1:42" x14ac:dyDescent="0.2">
      <c r="A114"/>
      <c r="C114"/>
      <c r="AF114" s="175"/>
      <c r="AG114" s="56"/>
      <c r="AH114" s="182"/>
    </row>
    <row r="115" spans="1:42" ht="13.5" thickBot="1" x14ac:dyDescent="0.25">
      <c r="A115"/>
      <c r="C115"/>
      <c r="AF115" s="176"/>
      <c r="AG115" s="56"/>
    </row>
    <row r="116" spans="1:42" x14ac:dyDescent="0.2">
      <c r="A116"/>
      <c r="C116"/>
    </row>
    <row r="117" spans="1:42" x14ac:dyDescent="0.2">
      <c r="A117"/>
      <c r="C117"/>
    </row>
    <row r="118" spans="1:42" x14ac:dyDescent="0.2">
      <c r="A118"/>
      <c r="C118"/>
    </row>
    <row r="119" spans="1:42" x14ac:dyDescent="0.2">
      <c r="A119"/>
      <c r="C119"/>
    </row>
    <row r="120" spans="1:42" x14ac:dyDescent="0.2">
      <c r="A120"/>
      <c r="C120"/>
    </row>
    <row r="121" spans="1:42" x14ac:dyDescent="0.2">
      <c r="A121"/>
      <c r="C121"/>
    </row>
    <row r="122" spans="1:42" x14ac:dyDescent="0.2">
      <c r="A122"/>
      <c r="C122"/>
    </row>
    <row r="123" spans="1:42" x14ac:dyDescent="0.2">
      <c r="A123"/>
      <c r="C123"/>
    </row>
    <row r="124" spans="1:42" x14ac:dyDescent="0.2">
      <c r="A124"/>
      <c r="C124"/>
    </row>
    <row r="125" spans="1:42" x14ac:dyDescent="0.2">
      <c r="A125"/>
      <c r="C125"/>
    </row>
    <row r="126" spans="1:42" x14ac:dyDescent="0.2">
      <c r="A126"/>
      <c r="C126"/>
    </row>
    <row r="127" spans="1:42" x14ac:dyDescent="0.2">
      <c r="A127"/>
      <c r="C127"/>
    </row>
    <row r="128" spans="1:42" x14ac:dyDescent="0.2">
      <c r="A128"/>
      <c r="C128"/>
    </row>
    <row r="129" spans="1:3" x14ac:dyDescent="0.2">
      <c r="A129"/>
      <c r="C129"/>
    </row>
    <row r="130" spans="1:3" x14ac:dyDescent="0.2">
      <c r="A130"/>
      <c r="C130"/>
    </row>
    <row r="131" spans="1:3" x14ac:dyDescent="0.2">
      <c r="A131"/>
      <c r="C131"/>
    </row>
    <row r="132" spans="1:3" x14ac:dyDescent="0.2">
      <c r="A132"/>
      <c r="C132"/>
    </row>
    <row r="133" spans="1:3" x14ac:dyDescent="0.2">
      <c r="A133"/>
      <c r="C133"/>
    </row>
    <row r="134" spans="1:3" x14ac:dyDescent="0.2">
      <c r="A134"/>
      <c r="C134"/>
    </row>
    <row r="135" spans="1:3" x14ac:dyDescent="0.2">
      <c r="A135"/>
      <c r="C135"/>
    </row>
    <row r="136" spans="1:3" x14ac:dyDescent="0.2">
      <c r="A136"/>
      <c r="C136"/>
    </row>
    <row r="137" spans="1:3" x14ac:dyDescent="0.2">
      <c r="A137"/>
      <c r="C137"/>
    </row>
    <row r="138" spans="1:3" x14ac:dyDescent="0.2">
      <c r="A138"/>
      <c r="C138"/>
    </row>
    <row r="139" spans="1:3" x14ac:dyDescent="0.2">
      <c r="A139"/>
      <c r="C139"/>
    </row>
    <row r="140" spans="1:3" x14ac:dyDescent="0.2">
      <c r="A140"/>
      <c r="C140"/>
    </row>
    <row r="141" spans="1:3" x14ac:dyDescent="0.2">
      <c r="A141"/>
      <c r="C141"/>
    </row>
    <row r="142" spans="1:3" x14ac:dyDescent="0.2">
      <c r="A142"/>
      <c r="C142"/>
    </row>
    <row r="143" spans="1:3" x14ac:dyDescent="0.2">
      <c r="A143"/>
      <c r="C143"/>
    </row>
    <row r="144" spans="1:3" x14ac:dyDescent="0.2">
      <c r="A144"/>
      <c r="C144"/>
    </row>
    <row r="145" spans="1:3" x14ac:dyDescent="0.2">
      <c r="A145"/>
      <c r="C145"/>
    </row>
    <row r="146" spans="1:3" x14ac:dyDescent="0.2">
      <c r="A146"/>
      <c r="C146"/>
    </row>
    <row r="147" spans="1:3" x14ac:dyDescent="0.2">
      <c r="A147"/>
      <c r="C147"/>
    </row>
    <row r="148" spans="1:3" x14ac:dyDescent="0.2">
      <c r="A148"/>
      <c r="C148"/>
    </row>
    <row r="149" spans="1:3" x14ac:dyDescent="0.2">
      <c r="A149"/>
      <c r="C149"/>
    </row>
    <row r="150" spans="1:3" x14ac:dyDescent="0.2">
      <c r="A150"/>
      <c r="C150"/>
    </row>
    <row r="151" spans="1:3" x14ac:dyDescent="0.2">
      <c r="A151"/>
      <c r="C151"/>
    </row>
    <row r="152" spans="1:3" x14ac:dyDescent="0.2">
      <c r="A152"/>
      <c r="C152"/>
    </row>
    <row r="153" spans="1:3" x14ac:dyDescent="0.2">
      <c r="A153"/>
      <c r="C153"/>
    </row>
    <row r="154" spans="1:3" x14ac:dyDescent="0.2">
      <c r="A154"/>
      <c r="C154"/>
    </row>
    <row r="155" spans="1:3" x14ac:dyDescent="0.2">
      <c r="A155"/>
      <c r="C155"/>
    </row>
    <row r="156" spans="1:3" x14ac:dyDescent="0.2">
      <c r="A156"/>
      <c r="C156"/>
    </row>
    <row r="157" spans="1:3" x14ac:dyDescent="0.2">
      <c r="A157"/>
      <c r="C157"/>
    </row>
    <row r="158" spans="1:3" x14ac:dyDescent="0.2">
      <c r="A158"/>
      <c r="C158"/>
    </row>
    <row r="159" spans="1:3" x14ac:dyDescent="0.2">
      <c r="A159"/>
      <c r="C159"/>
    </row>
    <row r="160" spans="1:3" x14ac:dyDescent="0.2">
      <c r="A160"/>
      <c r="C160"/>
    </row>
    <row r="161" spans="1:3" x14ac:dyDescent="0.2">
      <c r="A161"/>
      <c r="C161"/>
    </row>
    <row r="162" spans="1:3" x14ac:dyDescent="0.2">
      <c r="A162"/>
      <c r="C162"/>
    </row>
    <row r="163" spans="1:3" x14ac:dyDescent="0.2">
      <c r="A163"/>
      <c r="C163"/>
    </row>
    <row r="164" spans="1:3" x14ac:dyDescent="0.2">
      <c r="A164"/>
      <c r="C164"/>
    </row>
  </sheetData>
  <mergeCells count="6">
    <mergeCell ref="AO26:AO27"/>
    <mergeCell ref="AJ26:AJ27"/>
    <mergeCell ref="AK26:AK27"/>
    <mergeCell ref="AL26:AL27"/>
    <mergeCell ref="AM26:AM27"/>
    <mergeCell ref="AN26:AN27"/>
  </mergeCells>
  <conditionalFormatting sqref="C1:C1048576">
    <cfRule type="cellIs" dxfId="36" priority="97" stopIfTrue="1" operator="equal">
      <formula>0</formula>
    </cfRule>
  </conditionalFormatting>
  <conditionalFormatting sqref="J34:J38 J100:J65504 J2:J23">
    <cfRule type="iconSet" priority="11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top10" dxfId="35" priority="119" stopIfTrue="1" rank="10"/>
  </conditionalFormatting>
  <conditionalFormatting sqref="V28:X29 M36:O36 V36:W36 Z23 Y29:Y32 AD26 M26:Z26 U4:U25 AC4:AC26">
    <cfRule type="cellIs" dxfId="34" priority="31" operator="lessThan">
      <formula>3</formula>
    </cfRule>
  </conditionalFormatting>
  <conditionalFormatting sqref="Z4">
    <cfRule type="cellIs" dxfId="33" priority="3" operator="lessThan">
      <formula>3</formula>
    </cfRule>
  </conditionalFormatting>
  <conditionalFormatting sqref="Z22">
    <cfRule type="cellIs" dxfId="32" priority="2" operator="lessThan">
      <formula>3</formula>
    </cfRule>
  </conditionalFormatting>
  <pageMargins left="0.70866141732283472" right="0.70866141732283472" top="0.74803149606299213" bottom="0.74803149606299213" header="0.31496062992125984" footer="0.31496062992125984"/>
  <pageSetup paperSize="9" orientation="portrait" r:id="rId4"/>
  <ignoredErrors>
    <ignoredError sqref="Q26:S26" formula="1"/>
  </ignoredErrors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" r:id="rId7" name="Button 113">
              <controlPr defaultSize="0" print="0" autoFill="0" autoPict="0" macro="[0]!Actualizar">
                <anchor moveWithCells="1">
                  <from>
                    <xdr:col>8</xdr:col>
                    <xdr:colOff>200025</xdr:colOff>
                    <xdr:row>28</xdr:row>
                    <xdr:rowOff>95250</xdr:rowOff>
                  </from>
                  <to>
                    <xdr:col>11</xdr:col>
                    <xdr:colOff>38100</xdr:colOff>
                    <xdr:row>30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D8335-A018-4590-9C10-7F25C0D91B3F}">
  <sheetPr codeName="Hoja11"/>
  <dimension ref="A3:I115"/>
  <sheetViews>
    <sheetView tabSelected="1" workbookViewId="0">
      <selection activeCell="I20" sqref="I20"/>
    </sheetView>
  </sheetViews>
  <sheetFormatPr baseColWidth="10" defaultColWidth="11.42578125" defaultRowHeight="12.75" x14ac:dyDescent="0.2"/>
  <cols>
    <col min="1" max="1" width="18.140625" style="213" customWidth="1"/>
    <col min="2" max="2" width="11.42578125" style="213"/>
    <col min="3" max="3" width="32.5703125" style="213" customWidth="1"/>
    <col min="4" max="16384" width="11.42578125" style="213"/>
  </cols>
  <sheetData>
    <row r="3" spans="1:1" ht="15.75" x14ac:dyDescent="0.2">
      <c r="A3" s="212" t="s">
        <v>187</v>
      </c>
    </row>
    <row r="4" spans="1:1" ht="17.25" x14ac:dyDescent="0.2">
      <c r="A4" s="214" t="s">
        <v>188</v>
      </c>
    </row>
    <row r="5" spans="1:1" ht="15.75" x14ac:dyDescent="0.2">
      <c r="A5" s="212" t="s">
        <v>189</v>
      </c>
    </row>
    <row r="6" spans="1:1" ht="15.75" x14ac:dyDescent="0.2">
      <c r="A6" s="215">
        <f>+Stock!AJ21</f>
        <v>278</v>
      </c>
    </row>
    <row r="7" spans="1:1" ht="17.25" x14ac:dyDescent="0.2">
      <c r="A7" s="214" t="s">
        <v>190</v>
      </c>
    </row>
    <row r="8" spans="1:1" ht="15.75" x14ac:dyDescent="0.2">
      <c r="A8" s="216" t="s">
        <v>191</v>
      </c>
    </row>
    <row r="9" spans="1:1" x14ac:dyDescent="0.2">
      <c r="A9" s="217"/>
    </row>
    <row r="10" spans="1:1" ht="15.75" x14ac:dyDescent="0.2">
      <c r="A10" s="218" t="s">
        <v>192</v>
      </c>
    </row>
    <row r="11" spans="1:1" ht="15.75" x14ac:dyDescent="0.2">
      <c r="A11" s="218" t="s">
        <v>193</v>
      </c>
    </row>
    <row r="12" spans="1:1" ht="15.75" x14ac:dyDescent="0.2">
      <c r="A12" s="219" t="s">
        <v>194</v>
      </c>
    </row>
    <row r="13" spans="1:1" ht="15.75" x14ac:dyDescent="0.2">
      <c r="A13" s="216" t="s">
        <v>195</v>
      </c>
    </row>
    <row r="14" spans="1:1" x14ac:dyDescent="0.2">
      <c r="A14" s="217"/>
    </row>
    <row r="15" spans="1:1" ht="15.75" x14ac:dyDescent="0.2">
      <c r="A15" s="218" t="s">
        <v>196</v>
      </c>
    </row>
    <row r="16" spans="1:1" ht="15.75" x14ac:dyDescent="0.2">
      <c r="A16" s="218" t="s">
        <v>197</v>
      </c>
    </row>
    <row r="17" spans="1:1" ht="15.75" x14ac:dyDescent="0.2">
      <c r="A17" s="220" t="s">
        <v>198</v>
      </c>
    </row>
    <row r="18" spans="1:1" ht="15.75" x14ac:dyDescent="0.2">
      <c r="A18" s="220" t="s">
        <v>199</v>
      </c>
    </row>
    <row r="19" spans="1:1" ht="15.75" x14ac:dyDescent="0.2">
      <c r="A19" s="220" t="s">
        <v>200</v>
      </c>
    </row>
    <row r="20" spans="1:1" ht="15.75" x14ac:dyDescent="0.2">
      <c r="A20" s="218" t="s">
        <v>201</v>
      </c>
    </row>
    <row r="21" spans="1:1" ht="15.75" x14ac:dyDescent="0.2">
      <c r="A21" s="221" t="s">
        <v>202</v>
      </c>
    </row>
    <row r="22" spans="1:1" ht="15.75" x14ac:dyDescent="0.2">
      <c r="A22" s="218" t="s">
        <v>203</v>
      </c>
    </row>
    <row r="23" spans="1:1" ht="15.75" x14ac:dyDescent="0.2">
      <c r="A23" s="221" t="s">
        <v>204</v>
      </c>
    </row>
    <row r="24" spans="1:1" ht="15.75" x14ac:dyDescent="0.2">
      <c r="A24" s="218" t="s">
        <v>205</v>
      </c>
    </row>
    <row r="25" spans="1:1" ht="15.75" x14ac:dyDescent="0.2">
      <c r="A25" s="216" t="s">
        <v>206</v>
      </c>
    </row>
    <row r="26" spans="1:1" x14ac:dyDescent="0.2">
      <c r="A26" s="217"/>
    </row>
    <row r="27" spans="1:1" ht="15.75" x14ac:dyDescent="0.2">
      <c r="A27" s="218" t="s">
        <v>207</v>
      </c>
    </row>
    <row r="28" spans="1:1" ht="15.75" x14ac:dyDescent="0.2">
      <c r="A28" s="218" t="s">
        <v>208</v>
      </c>
    </row>
    <row r="29" spans="1:1" ht="15.75" x14ac:dyDescent="0.2">
      <c r="A29" s="218" t="s">
        <v>209</v>
      </c>
    </row>
    <row r="30" spans="1:1" ht="15.75" x14ac:dyDescent="0.2">
      <c r="A30" s="218" t="s">
        <v>210</v>
      </c>
    </row>
    <row r="31" spans="1:1" ht="15.75" x14ac:dyDescent="0.2">
      <c r="A31" s="218"/>
    </row>
    <row r="32" spans="1:1" ht="15.75" x14ac:dyDescent="0.2">
      <c r="A32" s="216" t="s">
        <v>211</v>
      </c>
    </row>
    <row r="33" spans="1:2" x14ac:dyDescent="0.2">
      <c r="A33" s="217"/>
    </row>
    <row r="34" spans="1:2" ht="15.75" x14ac:dyDescent="0.2">
      <c r="A34" s="218" t="s">
        <v>212</v>
      </c>
    </row>
    <row r="35" spans="1:2" ht="15.75" x14ac:dyDescent="0.2">
      <c r="A35" s="218" t="s">
        <v>213</v>
      </c>
    </row>
    <row r="36" spans="1:2" ht="15.75" x14ac:dyDescent="0.2">
      <c r="A36" s="218" t="s">
        <v>214</v>
      </c>
    </row>
    <row r="37" spans="1:2" ht="15.75" x14ac:dyDescent="0.2">
      <c r="A37" s="218"/>
    </row>
    <row r="38" spans="1:2" ht="15.75" x14ac:dyDescent="0.2">
      <c r="A38" s="216" t="s">
        <v>215</v>
      </c>
    </row>
    <row r="39" spans="1:2" x14ac:dyDescent="0.2">
      <c r="A39" s="217"/>
    </row>
    <row r="40" spans="1:2" ht="15.75" x14ac:dyDescent="0.2">
      <c r="A40" s="218" t="s">
        <v>216</v>
      </c>
    </row>
    <row r="41" spans="1:2" ht="15.75" x14ac:dyDescent="0.2">
      <c r="A41" s="218" t="s">
        <v>217</v>
      </c>
    </row>
    <row r="44" spans="1:2" ht="15.75" x14ac:dyDescent="0.2">
      <c r="A44" s="216" t="s">
        <v>218</v>
      </c>
    </row>
    <row r="45" spans="1:2" ht="15.75" x14ac:dyDescent="0.2">
      <c r="A45" s="218" t="s">
        <v>219</v>
      </c>
    </row>
    <row r="47" spans="1:2" x14ac:dyDescent="0.2">
      <c r="A47" s="213" t="str">
        <f>+[4]Stock!J4</f>
        <v>A-Rosas-Colo</v>
      </c>
      <c r="B47" s="222"/>
    </row>
    <row r="48" spans="1:2" x14ac:dyDescent="0.2">
      <c r="A48" s="213" t="str">
        <f>+[4]Stock!J5</f>
        <v>A-Rose-Ethio</v>
      </c>
      <c r="B48" s="222"/>
    </row>
    <row r="49" spans="1:2" x14ac:dyDescent="0.2">
      <c r="A49" s="213" t="str">
        <f>+[4]Stock!J6</f>
        <v>C-AUTHENTIQU</v>
      </c>
      <c r="B49" s="222"/>
    </row>
    <row r="50" spans="1:2" x14ac:dyDescent="0.2">
      <c r="A50" s="213" t="str">
        <f>+[4]Stock!J7</f>
        <v>C-BLEU-PARFU</v>
      </c>
      <c r="B50" s="222"/>
    </row>
    <row r="51" spans="1:2" x14ac:dyDescent="0.2">
      <c r="A51" s="213" t="str">
        <f>+[4]Stock!J8</f>
        <v>C-DEEP-PURPL</v>
      </c>
      <c r="B51" s="222"/>
    </row>
    <row r="52" spans="1:2" x14ac:dyDescent="0.2">
      <c r="A52" s="213" t="str">
        <f>+[4]Stock!J9</f>
        <v>C-GIRASOLES-</v>
      </c>
      <c r="B52" s="222"/>
    </row>
    <row r="53" spans="1:2" x14ac:dyDescent="0.2">
      <c r="A53" s="213" t="str">
        <f>+[4]Stock!J10</f>
        <v>C-Lys_champe</v>
      </c>
      <c r="B53" s="222"/>
    </row>
    <row r="54" spans="1:2" x14ac:dyDescent="0.2">
      <c r="A54" s="213" t="str">
        <f>+[4]Stock!J11</f>
        <v>C-PASTEL-HIV</v>
      </c>
      <c r="B54" s="222"/>
    </row>
    <row r="55" spans="1:2" x14ac:dyDescent="0.2">
      <c r="A55" s="213" t="str">
        <f>+[4]Stock!J12</f>
        <v>C-PIVOINE-PE</v>
      </c>
      <c r="B55" s="222"/>
    </row>
    <row r="56" spans="1:2" x14ac:dyDescent="0.2">
      <c r="A56" s="213" t="str">
        <f>+[4]Stock!J13</f>
        <v>C-RAMO_FLORI</v>
      </c>
      <c r="B56" s="222"/>
    </row>
    <row r="57" spans="1:2" x14ac:dyDescent="0.2">
      <c r="A57" s="213" t="str">
        <f>+[4]Stock!J14</f>
        <v>C-STATICE-RO</v>
      </c>
      <c r="B57" s="222"/>
    </row>
    <row r="58" spans="1:2" x14ac:dyDescent="0.2">
      <c r="A58" s="213" t="str">
        <f>+[4]Stock!J15</f>
        <v>C-TOSCANA-PA</v>
      </c>
      <c r="B58" s="222"/>
    </row>
    <row r="59" spans="1:2" x14ac:dyDescent="0.2">
      <c r="A59" s="213" t="str">
        <f>+[4]Stock!J16</f>
        <v>C-TOURNESOL_</v>
      </c>
      <c r="B59" s="222"/>
    </row>
    <row r="60" spans="1:2" x14ac:dyDescent="0.2">
      <c r="A60" s="213" t="str">
        <f>+[4]Stock!J17</f>
        <v>C-ZODIAC-CAN</v>
      </c>
      <c r="B60" s="222"/>
    </row>
    <row r="61" spans="1:2" x14ac:dyDescent="0.2">
      <c r="A61" s="213" t="str">
        <f>+[4]Stock!J18</f>
        <v>P-ANTHURIUM_</v>
      </c>
      <c r="B61" s="222"/>
    </row>
    <row r="62" spans="1:2" x14ac:dyDescent="0.2">
      <c r="A62" s="213" t="str">
        <f>+[4]Stock!J19</f>
        <v>P-Bonsai_1</v>
      </c>
      <c r="B62" s="222"/>
    </row>
    <row r="63" spans="1:2" x14ac:dyDescent="0.2">
      <c r="A63" s="213" t="str">
        <f>+[4]Stock!J20</f>
        <v>P-Orquidea_p</v>
      </c>
      <c r="B63" s="222"/>
    </row>
    <row r="64" spans="1:2" x14ac:dyDescent="0.2">
      <c r="A64" s="213" t="str">
        <f>+[4]Stock!J21</f>
        <v>S-Alstro_par</v>
      </c>
      <c r="B64" s="222"/>
    </row>
    <row r="65" spans="1:2" x14ac:dyDescent="0.2">
      <c r="A65" s="213" t="str">
        <f>+[4]Stock!J22</f>
        <v>S-Lilium-Ros</v>
      </c>
      <c r="B65" s="222"/>
    </row>
    <row r="66" spans="1:2" x14ac:dyDescent="0.2">
      <c r="A66" s="213" t="str">
        <f>+[4]Stock!J23</f>
        <v>S-Peonia-ros</v>
      </c>
      <c r="B66" s="222"/>
    </row>
    <row r="67" spans="1:2" x14ac:dyDescent="0.2">
      <c r="A67" s="213" t="str">
        <f>+[4]Stock!J24</f>
        <v>S-Premium-12</v>
      </c>
      <c r="B67" s="222"/>
    </row>
    <row r="68" spans="1:2" x14ac:dyDescent="0.2">
      <c r="A68" s="213" t="str">
        <f>+[4]Stock!J25</f>
        <v>S-R-Blanc-Pr</v>
      </c>
      <c r="B68" s="222"/>
    </row>
    <row r="69" spans="1:2" x14ac:dyDescent="0.2">
      <c r="A69" s="213" t="str">
        <f>+[4]Stock!J26</f>
        <v>total</v>
      </c>
      <c r="B69" s="222"/>
    </row>
    <row r="70" spans="1:2" x14ac:dyDescent="0.2">
      <c r="A70" s="213">
        <f>+[4]Stock!J27</f>
        <v>0</v>
      </c>
      <c r="B70" s="222"/>
    </row>
    <row r="71" spans="1:2" x14ac:dyDescent="0.2">
      <c r="A71" s="213">
        <f>+[4]Stock!J28</f>
        <v>0</v>
      </c>
      <c r="B71" s="222"/>
    </row>
    <row r="72" spans="1:2" x14ac:dyDescent="0.2">
      <c r="A72" s="213">
        <f>+[4]Stock!J29</f>
        <v>0</v>
      </c>
      <c r="B72" s="222"/>
    </row>
    <row r="73" spans="1:2" x14ac:dyDescent="0.2">
      <c r="A73" s="213">
        <f>+[4]Stock!J30</f>
        <v>0</v>
      </c>
      <c r="B73" s="222"/>
    </row>
    <row r="74" spans="1:2" x14ac:dyDescent="0.2">
      <c r="A74" s="213">
        <f>+[4]Stock!J31</f>
        <v>0</v>
      </c>
      <c r="B74" s="222"/>
    </row>
    <row r="75" spans="1:2" x14ac:dyDescent="0.2">
      <c r="A75" s="213">
        <f>+[4]Stock!J32</f>
        <v>0</v>
      </c>
      <c r="B75" s="222"/>
    </row>
    <row r="78" spans="1:2" ht="15.75" x14ac:dyDescent="0.2">
      <c r="A78" s="218" t="s">
        <v>220</v>
      </c>
    </row>
    <row r="80" spans="1:2" ht="13.5" thickBot="1" x14ac:dyDescent="0.25"/>
    <row r="81" spans="1:9" ht="15" thickBot="1" x14ac:dyDescent="0.25">
      <c r="A81" s="223" t="s">
        <v>221</v>
      </c>
    </row>
    <row r="83" spans="1:9" ht="13.5" thickBot="1" x14ac:dyDescent="0.25">
      <c r="A83" s="213" t="s">
        <v>222</v>
      </c>
      <c r="B83" s="213" t="s">
        <v>223</v>
      </c>
      <c r="C83" s="213" t="s">
        <v>224</v>
      </c>
      <c r="D83" s="213" t="s">
        <v>99</v>
      </c>
      <c r="E83" s="213" t="s">
        <v>225</v>
      </c>
      <c r="F83" s="213" t="s">
        <v>226</v>
      </c>
      <c r="G83" s="213" t="s">
        <v>227</v>
      </c>
      <c r="H83" s="213" t="s">
        <v>228</v>
      </c>
      <c r="I83" s="213" t="s">
        <v>229</v>
      </c>
    </row>
    <row r="84" spans="1:9" ht="13.5" thickBot="1" x14ac:dyDescent="0.25">
      <c r="A84" s="224" t="s">
        <v>230</v>
      </c>
      <c r="B84" s="225" t="s">
        <v>231</v>
      </c>
      <c r="C84" s="225" t="s">
        <v>232</v>
      </c>
      <c r="D84" s="226">
        <v>54</v>
      </c>
      <c r="E84" s="227">
        <v>8</v>
      </c>
      <c r="F84" s="227">
        <v>4</v>
      </c>
      <c r="G84" s="227">
        <v>7</v>
      </c>
      <c r="H84" s="227">
        <v>20</v>
      </c>
      <c r="I84" s="227">
        <v>15</v>
      </c>
    </row>
    <row r="85" spans="1:9" ht="13.5" thickBot="1" x14ac:dyDescent="0.25">
      <c r="A85" s="224" t="s">
        <v>233</v>
      </c>
      <c r="B85" s="225" t="s">
        <v>231</v>
      </c>
      <c r="C85" s="225" t="s">
        <v>234</v>
      </c>
      <c r="D85" s="226">
        <v>45</v>
      </c>
      <c r="E85" s="227">
        <v>6</v>
      </c>
      <c r="F85" s="227">
        <v>3</v>
      </c>
      <c r="G85" s="227">
        <v>7</v>
      </c>
      <c r="H85" s="227">
        <v>6</v>
      </c>
      <c r="I85" s="227">
        <v>23</v>
      </c>
    </row>
    <row r="86" spans="1:9" ht="13.5" thickBot="1" x14ac:dyDescent="0.25">
      <c r="A86" s="224" t="s">
        <v>235</v>
      </c>
      <c r="B86" s="225" t="s">
        <v>236</v>
      </c>
      <c r="C86" s="225" t="s">
        <v>237</v>
      </c>
      <c r="D86" s="226">
        <v>8</v>
      </c>
      <c r="E86" s="227"/>
      <c r="F86" s="227">
        <v>1</v>
      </c>
      <c r="G86" s="227">
        <v>2</v>
      </c>
      <c r="H86" s="227">
        <v>3</v>
      </c>
      <c r="I86" s="227">
        <v>2</v>
      </c>
    </row>
    <row r="87" spans="1:9" ht="13.5" thickBot="1" x14ac:dyDescent="0.25">
      <c r="A87" s="224" t="s">
        <v>238</v>
      </c>
      <c r="B87" s="225" t="s">
        <v>236</v>
      </c>
      <c r="C87" s="225" t="s">
        <v>239</v>
      </c>
      <c r="D87" s="226">
        <v>6</v>
      </c>
      <c r="E87" s="228">
        <v>4</v>
      </c>
      <c r="F87" s="228"/>
      <c r="G87" s="228"/>
      <c r="H87" s="228"/>
      <c r="I87" s="228">
        <v>2</v>
      </c>
    </row>
    <row r="88" spans="1:9" ht="13.5" thickBot="1" x14ac:dyDescent="0.25">
      <c r="A88" s="224" t="s">
        <v>240</v>
      </c>
      <c r="B88" s="225" t="s">
        <v>236</v>
      </c>
      <c r="C88" s="225" t="s">
        <v>241</v>
      </c>
      <c r="D88" s="226">
        <v>1</v>
      </c>
      <c r="E88" s="228"/>
      <c r="F88" s="228"/>
      <c r="G88" s="228"/>
      <c r="H88" s="228">
        <v>1</v>
      </c>
      <c r="I88" s="228"/>
    </row>
    <row r="89" spans="1:9" ht="13.5" thickBot="1" x14ac:dyDescent="0.25">
      <c r="A89" s="224" t="s">
        <v>242</v>
      </c>
      <c r="B89" s="225" t="s">
        <v>236</v>
      </c>
      <c r="C89" s="225" t="s">
        <v>243</v>
      </c>
      <c r="D89" s="226">
        <v>7</v>
      </c>
      <c r="E89" s="227"/>
      <c r="F89" s="227">
        <v>1</v>
      </c>
      <c r="G89" s="227">
        <v>3</v>
      </c>
      <c r="H89" s="227">
        <v>1</v>
      </c>
      <c r="I89" s="227">
        <v>2</v>
      </c>
    </row>
    <row r="90" spans="1:9" ht="13.5" thickBot="1" x14ac:dyDescent="0.25">
      <c r="A90" s="224" t="s">
        <v>244</v>
      </c>
      <c r="B90" s="225" t="s">
        <v>236</v>
      </c>
      <c r="C90" s="225" t="s">
        <v>245</v>
      </c>
      <c r="D90" s="226">
        <v>14</v>
      </c>
      <c r="E90" s="228">
        <v>6</v>
      </c>
      <c r="F90" s="228">
        <v>2</v>
      </c>
      <c r="G90" s="228">
        <v>2</v>
      </c>
      <c r="H90" s="228">
        <v>2</v>
      </c>
      <c r="I90" s="228">
        <v>2</v>
      </c>
    </row>
    <row r="91" spans="1:9" ht="13.5" thickBot="1" x14ac:dyDescent="0.25">
      <c r="A91" s="224" t="s">
        <v>246</v>
      </c>
      <c r="B91" s="225" t="s">
        <v>236</v>
      </c>
      <c r="C91" s="225" t="s">
        <v>247</v>
      </c>
      <c r="D91" s="226">
        <v>5</v>
      </c>
      <c r="E91" s="228"/>
      <c r="F91" s="228"/>
      <c r="G91" s="228"/>
      <c r="H91" s="228">
        <v>3</v>
      </c>
      <c r="I91" s="228">
        <v>2</v>
      </c>
    </row>
    <row r="92" spans="1:9" ht="13.5" thickBot="1" x14ac:dyDescent="0.25">
      <c r="A92" s="224" t="s">
        <v>248</v>
      </c>
      <c r="B92" s="225" t="s">
        <v>236</v>
      </c>
      <c r="C92" s="225" t="s">
        <v>249</v>
      </c>
      <c r="D92" s="226">
        <v>2</v>
      </c>
      <c r="E92" s="227"/>
      <c r="F92" s="227">
        <v>1</v>
      </c>
      <c r="G92" s="227">
        <v>1</v>
      </c>
      <c r="H92" s="227"/>
      <c r="I92" s="227"/>
    </row>
    <row r="93" spans="1:9" ht="13.5" thickBot="1" x14ac:dyDescent="0.25">
      <c r="A93" s="224" t="s">
        <v>250</v>
      </c>
      <c r="B93" s="225" t="s">
        <v>236</v>
      </c>
      <c r="C93" s="225" t="s">
        <v>251</v>
      </c>
      <c r="D93" s="226">
        <v>24</v>
      </c>
      <c r="E93" s="228">
        <v>6</v>
      </c>
      <c r="F93" s="228">
        <v>1</v>
      </c>
      <c r="G93" s="228">
        <v>3</v>
      </c>
      <c r="H93" s="228">
        <v>11</v>
      </c>
      <c r="I93" s="228">
        <v>3</v>
      </c>
    </row>
    <row r="94" spans="1:9" ht="13.5" thickBot="1" x14ac:dyDescent="0.25">
      <c r="A94" s="224" t="s">
        <v>252</v>
      </c>
      <c r="B94" s="225" t="s">
        <v>236</v>
      </c>
      <c r="C94" s="225" t="s">
        <v>253</v>
      </c>
      <c r="D94" s="226">
        <v>15</v>
      </c>
      <c r="E94" s="228">
        <v>7</v>
      </c>
      <c r="F94" s="228">
        <v>2</v>
      </c>
      <c r="G94" s="228">
        <v>3</v>
      </c>
      <c r="H94" s="228">
        <v>1</v>
      </c>
      <c r="I94" s="228">
        <v>2</v>
      </c>
    </row>
    <row r="95" spans="1:9" ht="13.5" thickBot="1" x14ac:dyDescent="0.25">
      <c r="A95" s="224" t="s">
        <v>254</v>
      </c>
      <c r="B95" s="225" t="s">
        <v>236</v>
      </c>
      <c r="C95" s="225" t="s">
        <v>255</v>
      </c>
      <c r="D95" s="226">
        <v>20</v>
      </c>
      <c r="E95" s="227">
        <v>1</v>
      </c>
      <c r="F95" s="227">
        <v>1</v>
      </c>
      <c r="G95" s="227">
        <v>4</v>
      </c>
      <c r="H95" s="227">
        <v>12</v>
      </c>
      <c r="I95" s="227">
        <v>2</v>
      </c>
    </row>
    <row r="96" spans="1:9" ht="13.5" thickBot="1" x14ac:dyDescent="0.25">
      <c r="A96" s="224" t="s">
        <v>256</v>
      </c>
      <c r="B96" s="225" t="s">
        <v>236</v>
      </c>
      <c r="C96" s="225" t="s">
        <v>257</v>
      </c>
      <c r="D96" s="226">
        <v>22</v>
      </c>
      <c r="E96" s="227">
        <v>7</v>
      </c>
      <c r="F96" s="227">
        <v>4</v>
      </c>
      <c r="G96" s="227">
        <v>1</v>
      </c>
      <c r="H96" s="227">
        <v>8</v>
      </c>
      <c r="I96" s="227">
        <v>2</v>
      </c>
    </row>
    <row r="97" spans="1:9" ht="13.5" thickBot="1" x14ac:dyDescent="0.25">
      <c r="A97" s="224" t="s">
        <v>258</v>
      </c>
      <c r="B97" s="225" t="s">
        <v>236</v>
      </c>
      <c r="C97" s="225" t="s">
        <v>259</v>
      </c>
      <c r="D97" s="226">
        <v>9</v>
      </c>
      <c r="E97" s="227">
        <v>1</v>
      </c>
      <c r="F97" s="227">
        <v>1</v>
      </c>
      <c r="G97" s="227">
        <v>3</v>
      </c>
      <c r="H97" s="227">
        <v>3</v>
      </c>
      <c r="I97" s="227">
        <v>1</v>
      </c>
    </row>
    <row r="98" spans="1:9" ht="13.5" thickBot="1" x14ac:dyDescent="0.25">
      <c r="A98" s="224" t="s">
        <v>260</v>
      </c>
      <c r="B98" s="225" t="s">
        <v>261</v>
      </c>
      <c r="C98" s="225" t="s">
        <v>262</v>
      </c>
      <c r="D98" s="226">
        <v>2</v>
      </c>
      <c r="E98" s="228"/>
      <c r="F98" s="228"/>
      <c r="G98" s="228"/>
      <c r="H98" s="228"/>
      <c r="I98" s="228">
        <v>2</v>
      </c>
    </row>
    <row r="99" spans="1:9" ht="13.5" thickBot="1" x14ac:dyDescent="0.25">
      <c r="A99" s="224" t="s">
        <v>263</v>
      </c>
      <c r="B99" s="225" t="s">
        <v>261</v>
      </c>
      <c r="C99" s="225" t="s">
        <v>264</v>
      </c>
      <c r="D99" s="226">
        <v>2</v>
      </c>
      <c r="E99" s="228">
        <v>1</v>
      </c>
      <c r="F99" s="228"/>
      <c r="G99" s="228"/>
      <c r="H99" s="228"/>
      <c r="I99" s="228">
        <v>1</v>
      </c>
    </row>
    <row r="100" spans="1:9" ht="13.5" thickBot="1" x14ac:dyDescent="0.25">
      <c r="A100" s="224" t="s">
        <v>265</v>
      </c>
      <c r="B100" s="225" t="s">
        <v>261</v>
      </c>
      <c r="C100" s="225" t="s">
        <v>266</v>
      </c>
      <c r="D100" s="226">
        <v>1</v>
      </c>
      <c r="E100" s="227"/>
      <c r="F100" s="227"/>
      <c r="G100" s="227"/>
      <c r="H100" s="227">
        <v>1</v>
      </c>
      <c r="I100" s="227"/>
    </row>
    <row r="101" spans="1:9" ht="13.5" thickBot="1" x14ac:dyDescent="0.25">
      <c r="A101" s="224" t="s">
        <v>267</v>
      </c>
      <c r="B101" s="225" t="s">
        <v>261</v>
      </c>
      <c r="C101" s="225" t="s">
        <v>268</v>
      </c>
      <c r="D101" s="226">
        <v>2</v>
      </c>
      <c r="E101" s="228"/>
      <c r="F101" s="228"/>
      <c r="G101" s="228">
        <v>1</v>
      </c>
      <c r="H101" s="228">
        <v>1</v>
      </c>
      <c r="I101" s="228"/>
    </row>
    <row r="102" spans="1:9" ht="13.5" thickBot="1" x14ac:dyDescent="0.25">
      <c r="A102" s="224" t="s">
        <v>269</v>
      </c>
      <c r="B102" s="225" t="s">
        <v>236</v>
      </c>
      <c r="C102" s="225" t="s">
        <v>270</v>
      </c>
      <c r="D102" s="226">
        <v>2</v>
      </c>
      <c r="E102" s="227">
        <v>1</v>
      </c>
      <c r="F102" s="227"/>
      <c r="G102" s="227"/>
      <c r="H102" s="227"/>
      <c r="I102" s="227">
        <v>1</v>
      </c>
    </row>
    <row r="103" spans="1:9" ht="13.5" thickBot="1" x14ac:dyDescent="0.25">
      <c r="A103" s="224" t="s">
        <v>271</v>
      </c>
      <c r="B103" s="225" t="s">
        <v>236</v>
      </c>
      <c r="C103" s="225" t="s">
        <v>272</v>
      </c>
      <c r="D103" s="226">
        <v>6</v>
      </c>
      <c r="E103" s="227">
        <v>2</v>
      </c>
      <c r="F103" s="227"/>
      <c r="G103" s="227">
        <v>1</v>
      </c>
      <c r="H103" s="227">
        <v>3</v>
      </c>
      <c r="I103" s="227"/>
    </row>
    <row r="104" spans="1:9" ht="13.5" thickBot="1" x14ac:dyDescent="0.25">
      <c r="A104" s="224" t="s">
        <v>273</v>
      </c>
      <c r="B104" s="225" t="s">
        <v>236</v>
      </c>
      <c r="C104" s="225" t="s">
        <v>274</v>
      </c>
      <c r="D104" s="226">
        <v>11</v>
      </c>
      <c r="E104" s="227">
        <v>4</v>
      </c>
      <c r="F104" s="227">
        <v>2</v>
      </c>
      <c r="G104" s="227">
        <v>5</v>
      </c>
      <c r="H104" s="227"/>
      <c r="I104" s="227"/>
    </row>
    <row r="105" spans="1:9" ht="13.5" thickBot="1" x14ac:dyDescent="0.25">
      <c r="A105" s="224" t="s">
        <v>275</v>
      </c>
      <c r="B105" s="225" t="s">
        <v>236</v>
      </c>
      <c r="C105" s="225" t="s">
        <v>276</v>
      </c>
      <c r="D105" s="226">
        <v>18</v>
      </c>
      <c r="E105" s="228">
        <v>6</v>
      </c>
      <c r="F105" s="228"/>
      <c r="G105" s="228">
        <v>1</v>
      </c>
      <c r="H105" s="228">
        <v>10</v>
      </c>
      <c r="I105" s="228">
        <v>1</v>
      </c>
    </row>
    <row r="106" spans="1:9" ht="13.5" thickBot="1" x14ac:dyDescent="0.25">
      <c r="A106" s="224" t="s">
        <v>277</v>
      </c>
      <c r="B106" s="225" t="s">
        <v>236</v>
      </c>
      <c r="C106" s="225" t="s">
        <v>278</v>
      </c>
      <c r="D106" s="226">
        <v>5</v>
      </c>
      <c r="E106" s="227"/>
      <c r="F106" s="227">
        <v>2</v>
      </c>
      <c r="G106" s="227">
        <v>2</v>
      </c>
      <c r="H106" s="227"/>
      <c r="I106" s="227">
        <v>1</v>
      </c>
    </row>
    <row r="107" spans="1:9" ht="13.5" thickBot="1" x14ac:dyDescent="0.25">
      <c r="A107" s="224" t="s">
        <v>279</v>
      </c>
      <c r="B107" s="225" t="s">
        <v>280</v>
      </c>
      <c r="C107" s="225" t="s">
        <v>281</v>
      </c>
      <c r="D107" s="226">
        <v>3</v>
      </c>
      <c r="E107" s="228"/>
      <c r="F107" s="228"/>
      <c r="G107" s="228">
        <v>1</v>
      </c>
      <c r="H107" s="228">
        <v>2</v>
      </c>
      <c r="I107" s="228"/>
    </row>
    <row r="108" spans="1:9" ht="13.5" thickBot="1" x14ac:dyDescent="0.25">
      <c r="A108" s="224" t="s">
        <v>282</v>
      </c>
      <c r="B108" s="225" t="s">
        <v>280</v>
      </c>
      <c r="C108" s="225" t="s">
        <v>283</v>
      </c>
      <c r="D108" s="226">
        <v>2</v>
      </c>
      <c r="E108" s="228"/>
      <c r="F108" s="228"/>
      <c r="G108" s="228"/>
      <c r="H108" s="228"/>
      <c r="I108" s="228">
        <v>2</v>
      </c>
    </row>
    <row r="109" spans="1:9" ht="13.5" thickBot="1" x14ac:dyDescent="0.25">
      <c r="A109" s="224" t="s">
        <v>284</v>
      </c>
      <c r="B109" s="225" t="s">
        <v>231</v>
      </c>
      <c r="C109" s="225" t="s">
        <v>285</v>
      </c>
      <c r="D109" s="226">
        <v>1</v>
      </c>
      <c r="E109" s="227"/>
      <c r="F109" s="227"/>
      <c r="G109" s="227"/>
      <c r="H109" s="227">
        <v>1</v>
      </c>
      <c r="I109" s="227"/>
    </row>
    <row r="110" spans="1:9" ht="13.5" thickBot="1" x14ac:dyDescent="0.25">
      <c r="A110" s="224" t="s">
        <v>286</v>
      </c>
      <c r="B110" s="225" t="s">
        <v>236</v>
      </c>
      <c r="C110" s="225" t="s">
        <v>287</v>
      </c>
      <c r="D110" s="226">
        <v>5</v>
      </c>
      <c r="E110" s="227">
        <v>3</v>
      </c>
      <c r="F110" s="227"/>
      <c r="G110" s="227">
        <v>1</v>
      </c>
      <c r="H110" s="227"/>
      <c r="I110" s="227">
        <v>1</v>
      </c>
    </row>
    <row r="111" spans="1:9" ht="13.5" thickBot="1" x14ac:dyDescent="0.25">
      <c r="A111" s="224" t="s">
        <v>288</v>
      </c>
      <c r="B111" s="225" t="s">
        <v>289</v>
      </c>
      <c r="C111" s="225" t="s">
        <v>290</v>
      </c>
      <c r="D111" s="226">
        <v>1</v>
      </c>
      <c r="E111" s="228"/>
      <c r="F111" s="228"/>
      <c r="G111" s="228"/>
      <c r="H111" s="228">
        <v>1</v>
      </c>
      <c r="I111" s="228"/>
    </row>
    <row r="112" spans="1:9" ht="21.75" thickBot="1" x14ac:dyDescent="0.25">
      <c r="A112" s="224" t="s">
        <v>291</v>
      </c>
      <c r="B112" s="225" t="s">
        <v>292</v>
      </c>
      <c r="C112" s="225" t="s">
        <v>293</v>
      </c>
      <c r="D112" s="226">
        <v>1</v>
      </c>
      <c r="E112" s="228">
        <v>1</v>
      </c>
      <c r="F112" s="228"/>
      <c r="G112" s="228"/>
      <c r="H112" s="228"/>
      <c r="I112" s="228"/>
    </row>
    <row r="113" spans="1:9" ht="13.5" thickBot="1" x14ac:dyDescent="0.25">
      <c r="A113" s="224" t="s">
        <v>294</v>
      </c>
      <c r="B113" s="225" t="s">
        <v>236</v>
      </c>
      <c r="C113" s="225" t="s">
        <v>295</v>
      </c>
      <c r="D113" s="226">
        <v>3</v>
      </c>
      <c r="E113" s="228">
        <v>2</v>
      </c>
      <c r="F113" s="228">
        <v>1</v>
      </c>
      <c r="G113" s="228"/>
      <c r="H113" s="228"/>
      <c r="I113" s="228"/>
    </row>
    <row r="114" spans="1:9" ht="13.5" thickBot="1" x14ac:dyDescent="0.25">
      <c r="A114" s="224" t="s">
        <v>296</v>
      </c>
      <c r="B114" s="225" t="s">
        <v>297</v>
      </c>
      <c r="C114" s="225" t="s">
        <v>298</v>
      </c>
      <c r="D114" s="226">
        <v>22</v>
      </c>
      <c r="E114" s="227">
        <v>5</v>
      </c>
      <c r="F114" s="227">
        <v>4</v>
      </c>
      <c r="G114" s="227">
        <v>4</v>
      </c>
      <c r="H114" s="227">
        <v>5</v>
      </c>
      <c r="I114" s="227">
        <v>4</v>
      </c>
    </row>
    <row r="115" spans="1:9" ht="21.75" thickBot="1" x14ac:dyDescent="0.25">
      <c r="A115" s="229" t="s">
        <v>299</v>
      </c>
      <c r="B115" s="230" t="s">
        <v>300</v>
      </c>
      <c r="C115" s="230" t="s">
        <v>301</v>
      </c>
      <c r="D115" s="226">
        <v>1</v>
      </c>
      <c r="E115" s="228">
        <v>1</v>
      </c>
      <c r="F115" s="228"/>
      <c r="G115" s="228"/>
      <c r="H115" s="228"/>
      <c r="I115" s="228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01003C7-6F04-46FE-B8C0-0EC9CB94D57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Detalle1</vt:lpstr>
      <vt:lpstr>Datos</vt:lpstr>
      <vt:lpstr>Stock</vt:lpstr>
      <vt:lpstr>Promt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murzay</dc:creator>
  <cp:keywords/>
  <dc:description/>
  <cp:lastModifiedBy>María Aquarelle</cp:lastModifiedBy>
  <cp:revision/>
  <cp:lastPrinted>2026-06-30T07:22:08Z</cp:lastPrinted>
  <dcterms:created xsi:type="dcterms:W3CDTF">2014-12-31T13:55:33Z</dcterms:created>
  <dcterms:modified xsi:type="dcterms:W3CDTF">2026-06-30T10:36:43Z</dcterms:modified>
  <cp:category/>
  <cp:contentStatus/>
</cp:coreProperties>
</file>